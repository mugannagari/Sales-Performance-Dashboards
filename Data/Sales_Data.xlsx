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Sales Performance Dashboards\"/>
    </mc:Choice>
  </mc:AlternateContent>
  <xr:revisionPtr revIDLastSave="0" documentId="13_ncr:1_{4E5E4108-C112-484F-84FF-B1E1BA4A5A63}" xr6:coauthVersionLast="47" xr6:coauthVersionMax="47" xr10:uidLastSave="{00000000-0000-0000-0000-000000000000}"/>
  <bookViews>
    <workbookView xWindow="-110" yWindow="-110" windowWidth="19420" windowHeight="10300" activeTab="2" xr2:uid="{00000000-000D-0000-FFFF-FFFF00000000}"/>
  </bookViews>
  <sheets>
    <sheet name="SalesData" sheetId="1" r:id="rId1"/>
    <sheet name="Sheet1" sheetId="2" r:id="rId2"/>
    <sheet name="Dashboard" sheetId="3" r:id="rId3"/>
  </sheets>
  <definedNames>
    <definedName name="Slicer_Months__Date">#N/A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2" i="3" l="1"/>
  <c r="Y6" i="3"/>
  <c r="Y5" i="3"/>
  <c r="Y3" i="3"/>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alcChain>
</file>

<file path=xl/sharedStrings.xml><?xml version="1.0" encoding="utf-8"?>
<sst xmlns="http://schemas.openxmlformats.org/spreadsheetml/2006/main" count="3086" uniqueCount="1033">
  <si>
    <t>OrderID</t>
  </si>
  <si>
    <t>Date</t>
  </si>
  <si>
    <t>Region</t>
  </si>
  <si>
    <t>Product</t>
  </si>
  <si>
    <t>Sales</t>
  </si>
  <si>
    <t>Quantity</t>
  </si>
  <si>
    <t>ORD30</t>
  </si>
  <si>
    <t>ORD31</t>
  </si>
  <si>
    <t>North</t>
  </si>
  <si>
    <t>ORD33</t>
  </si>
  <si>
    <t>ORD34</t>
  </si>
  <si>
    <t>ORD35</t>
  </si>
  <si>
    <t>ORD36</t>
  </si>
  <si>
    <t>Laptop</t>
  </si>
  <si>
    <t>ORD39</t>
  </si>
  <si>
    <t>ORD310</t>
  </si>
  <si>
    <t>ORD311</t>
  </si>
  <si>
    <t>ORD312</t>
  </si>
  <si>
    <t>East</t>
  </si>
  <si>
    <t>ORD313</t>
  </si>
  <si>
    <t>ORD314</t>
  </si>
  <si>
    <t>ORD315</t>
  </si>
  <si>
    <t>ORD316</t>
  </si>
  <si>
    <t>ORD317</t>
  </si>
  <si>
    <t>ORD318</t>
  </si>
  <si>
    <t>Tablet</t>
  </si>
  <si>
    <t>ORD319</t>
  </si>
  <si>
    <t>ORD320</t>
  </si>
  <si>
    <t>Phone</t>
  </si>
  <si>
    <t>ORD322</t>
  </si>
  <si>
    <t>West</t>
  </si>
  <si>
    <t>Monitor</t>
  </si>
  <si>
    <t>ORD324</t>
  </si>
  <si>
    <t>South</t>
  </si>
  <si>
    <t>ORD325</t>
  </si>
  <si>
    <t>ORD327</t>
  </si>
  <si>
    <t>ORD328</t>
  </si>
  <si>
    <t>ORD329</t>
  </si>
  <si>
    <t>ORD330</t>
  </si>
  <si>
    <t>ORD332</t>
  </si>
  <si>
    <t>Headphones</t>
  </si>
  <si>
    <t>ORD333</t>
  </si>
  <si>
    <t>ORD334</t>
  </si>
  <si>
    <t>ORD335</t>
  </si>
  <si>
    <t>ORD336</t>
  </si>
  <si>
    <t>ORD337</t>
  </si>
  <si>
    <t>ORD338</t>
  </si>
  <si>
    <t>ORD339</t>
  </si>
  <si>
    <t>ORD340</t>
  </si>
  <si>
    <t>ORD341</t>
  </si>
  <si>
    <t>ORD343</t>
  </si>
  <si>
    <t>ORD344</t>
  </si>
  <si>
    <t>ORD345</t>
  </si>
  <si>
    <t>ORD346</t>
  </si>
  <si>
    <t>ORD347</t>
  </si>
  <si>
    <t>ORD348</t>
  </si>
  <si>
    <t>ORD349</t>
  </si>
  <si>
    <t>ORD350</t>
  </si>
  <si>
    <t>ORD351</t>
  </si>
  <si>
    <t>ORD352</t>
  </si>
  <si>
    <t>ORD353</t>
  </si>
  <si>
    <t>ORD354</t>
  </si>
  <si>
    <t>ORD355</t>
  </si>
  <si>
    <t>ORD356</t>
  </si>
  <si>
    <t>ORD357</t>
  </si>
  <si>
    <t>ORD359</t>
  </si>
  <si>
    <t>ORD360</t>
  </si>
  <si>
    <t>ORD361</t>
  </si>
  <si>
    <t>ORD363</t>
  </si>
  <si>
    <t>ORD364</t>
  </si>
  <si>
    <t>ORD365</t>
  </si>
  <si>
    <t>ORD367</t>
  </si>
  <si>
    <t>ORD368</t>
  </si>
  <si>
    <t>ORD369</t>
  </si>
  <si>
    <t>ORD372</t>
  </si>
  <si>
    <t>ORD373</t>
  </si>
  <si>
    <t>ORD374</t>
  </si>
  <si>
    <t>ORD375</t>
  </si>
  <si>
    <t>ORD376</t>
  </si>
  <si>
    <t>ORD377</t>
  </si>
  <si>
    <t>ORD378</t>
  </si>
  <si>
    <t>ORD379</t>
  </si>
  <si>
    <t>ORD381</t>
  </si>
  <si>
    <t>ORD382</t>
  </si>
  <si>
    <t>ORD383</t>
  </si>
  <si>
    <t>ORD384</t>
  </si>
  <si>
    <t>ORD385</t>
  </si>
  <si>
    <t>ORD386</t>
  </si>
  <si>
    <t>ORD389</t>
  </si>
  <si>
    <t>ORD390</t>
  </si>
  <si>
    <t>ORD391</t>
  </si>
  <si>
    <t>ORD394</t>
  </si>
  <si>
    <t>ORD395</t>
  </si>
  <si>
    <t>ORD397</t>
  </si>
  <si>
    <t>ORD398</t>
  </si>
  <si>
    <t>ORD399</t>
  </si>
  <si>
    <t>ORD3100</t>
  </si>
  <si>
    <t>ORD3102</t>
  </si>
  <si>
    <t>ORD3103</t>
  </si>
  <si>
    <t>ORD3104</t>
  </si>
  <si>
    <t>ORD3105</t>
  </si>
  <si>
    <t>ORD3107</t>
  </si>
  <si>
    <t>ORD3108</t>
  </si>
  <si>
    <t>ORD3109</t>
  </si>
  <si>
    <t>ORD3110</t>
  </si>
  <si>
    <t>ORD3111</t>
  </si>
  <si>
    <t>ORD3112</t>
  </si>
  <si>
    <t>ORD3113</t>
  </si>
  <si>
    <t>ORD3114</t>
  </si>
  <si>
    <t>ORD3115</t>
  </si>
  <si>
    <t>ORD3116</t>
  </si>
  <si>
    <t>ORD3117</t>
  </si>
  <si>
    <t>ORD3118</t>
  </si>
  <si>
    <t>ORD3119</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</si>
  <si>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</si>
  <si>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</si>
  <si>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</si>
  <si>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</si>
  <si>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</si>
  <si>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</si>
  <si>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</si>
  <si>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</si>
  <si>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</si>
  <si>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</si>
  <si>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</si>
  <si>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</si>
  <si>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</si>
  <si>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</si>
  <si>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</si>
  <si>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</si>
  <si>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</si>
  <si>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</si>
  <si>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</si>
  <si>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</si>
  <si>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</si>
  <si>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</si>
  <si>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</si>
  <si>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</si>
  <si>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ORD3147</t>
  </si>
  <si>
    <t>ORD3148</t>
  </si>
  <si>
    <t>ORD3149</t>
  </si>
  <si>
    <t>ORD3150</t>
  </si>
  <si>
    <t>ORD3151</t>
  </si>
  <si>
    <t>ORD3152</t>
  </si>
  <si>
    <t>ORD3153</t>
  </si>
  <si>
    <t>ORD3154</t>
  </si>
  <si>
    <t>ORD3155</t>
  </si>
  <si>
    <t>ORD3156</t>
  </si>
  <si>
    <t>ORD3157</t>
  </si>
  <si>
    <t>ORD3158</t>
  </si>
  <si>
    <t>ORD3160</t>
  </si>
  <si>
    <t>ORD3161</t>
  </si>
  <si>
    <t>ORD3163</t>
  </si>
  <si>
    <t>ORD3164</t>
  </si>
  <si>
    <t>ORD3165</t>
  </si>
  <si>
    <t>ORD3166</t>
  </si>
  <si>
    <t>ORD3168</t>
  </si>
  <si>
    <t>ORD3169</t>
  </si>
  <si>
    <t>ORD3170</t>
  </si>
  <si>
    <t>ORD3171</t>
  </si>
  <si>
    <t>ORD3172</t>
  </si>
  <si>
    <t>ORD3173</t>
  </si>
  <si>
    <t>ORD3175</t>
  </si>
  <si>
    <t>ORD3176</t>
  </si>
  <si>
    <t>ORD3178</t>
  </si>
  <si>
    <t>ORD3179</t>
  </si>
  <si>
    <t>ORD3180</t>
  </si>
  <si>
    <t>ORD3181</t>
  </si>
  <si>
    <t>ORD3182</t>
  </si>
  <si>
    <t>ORD3183</t>
  </si>
  <si>
    <t>ORD3184</t>
  </si>
  <si>
    <t>ORD3185</t>
  </si>
  <si>
    <t>ORD3186</t>
  </si>
  <si>
    <t>ORD3187</t>
  </si>
  <si>
    <t>ORD3188</t>
  </si>
  <si>
    <t>ORD3189</t>
  </si>
  <si>
    <t>ORD3191</t>
  </si>
  <si>
    <t>ORD3192</t>
  </si>
  <si>
    <t>ORD3193</t>
  </si>
  <si>
    <t>ORD3194</t>
  </si>
  <si>
    <t>ORD3195</t>
  </si>
  <si>
    <t>ORD3197</t>
  </si>
  <si>
    <t>ORD3198</t>
  </si>
  <si>
    <t>ORD3200</t>
  </si>
  <si>
    <t>ORD3201</t>
  </si>
  <si>
    <t>ORD3202</t>
  </si>
  <si>
    <t>ORD3203</t>
  </si>
  <si>
    <t>ORD3204</t>
  </si>
  <si>
    <t>ORD3205</t>
  </si>
  <si>
    <t>ORD3207</t>
  </si>
  <si>
    <t>ORD3208</t>
  </si>
  <si>
    <t>ORD3209</t>
  </si>
  <si>
    <t>ORD3210</t>
  </si>
  <si>
    <t>ORD3211</t>
  </si>
  <si>
    <t>ORD3212</t>
  </si>
  <si>
    <t>ORD3213</t>
  </si>
  <si>
    <t>ORD3214</t>
  </si>
  <si>
    <t>ORD3215</t>
  </si>
  <si>
    <t>ORD3217</t>
  </si>
  <si>
    <t>ORD3219</t>
  </si>
  <si>
    <t>ORD3220</t>
  </si>
  <si>
    <t>ORD3221</t>
  </si>
  <si>
    <t>ORD3223</t>
  </si>
  <si>
    <t>ORD3225</t>
  </si>
  <si>
    <t>ORD3226</t>
  </si>
  <si>
    <t>ORD3227</t>
  </si>
  <si>
    <t>ORD3228</t>
  </si>
  <si>
    <t>ORD3229</t>
  </si>
  <si>
    <t>ORD3230</t>
  </si>
  <si>
    <t>ORD3231</t>
  </si>
  <si>
    <t>ORD3232</t>
  </si>
  <si>
    <t>ORD3233</t>
  </si>
  <si>
    <t>ORD3234</t>
  </si>
  <si>
    <t>ORD3235</t>
  </si>
  <si>
    <t>ORD3237</t>
  </si>
  <si>
    <t>ORD3238</t>
  </si>
  <si>
    <t>ORD3240</t>
  </si>
  <si>
    <t>ORD3241</t>
  </si>
  <si>
    <t>ORD3242</t>
  </si>
  <si>
    <t>ORD3243</t>
  </si>
  <si>
    <t>ORD3244</t>
  </si>
  <si>
    <t>ORD3245</t>
  </si>
  <si>
    <t>ORD3246</t>
  </si>
  <si>
    <t>ORD3247</t>
  </si>
  <si>
    <t>ORD3248</t>
  </si>
  <si>
    <t>ORD3249</t>
  </si>
  <si>
    <t>ORD3250</t>
  </si>
  <si>
    <t>ORD3251</t>
  </si>
  <si>
    <t>ORD3252</t>
  </si>
  <si>
    <t>ORD3253</t>
  </si>
  <si>
    <t>ORD3255</t>
  </si>
  <si>
    <t>ORD3256</t>
  </si>
  <si>
    <t>ORD3257</t>
  </si>
  <si>
    <t>ORD3258</t>
  </si>
  <si>
    <t>ORD3259</t>
  </si>
  <si>
    <t>ORD3260</t>
  </si>
  <si>
    <t>ORD3261</t>
  </si>
  <si>
    <t>ORD3262</t>
  </si>
  <si>
    <t>ORD3264</t>
  </si>
  <si>
    <t>ORD3265</t>
  </si>
  <si>
    <t>ORD3266</t>
  </si>
  <si>
    <t>ORD3267</t>
  </si>
  <si>
    <t>ORD3269</t>
  </si>
  <si>
    <t>ORD3270</t>
  </si>
  <si>
    <t>ORD3271</t>
  </si>
  <si>
    <t>ORD3272</t>
  </si>
  <si>
    <t>ORD3273</t>
  </si>
  <si>
    <t>ORD3274</t>
  </si>
  <si>
    <t>ORD3275</t>
  </si>
  <si>
    <t>ORD3276</t>
  </si>
  <si>
    <t>ORD3277</t>
  </si>
  <si>
    <t>ORD3278</t>
  </si>
  <si>
    <t>ORD3280</t>
  </si>
  <si>
    <t>ORD3281</t>
  </si>
  <si>
    <t>ORD3282</t>
  </si>
  <si>
    <t>ORD3283</t>
  </si>
  <si>
    <t>ORD3285</t>
  </si>
  <si>
    <t>ORD3287</t>
  </si>
  <si>
    <t>ORD3288</t>
  </si>
  <si>
    <t>ORD3289</t>
  </si>
  <si>
    <t>ORD3290</t>
  </si>
  <si>
    <t>ORD3292</t>
  </si>
  <si>
    <t>ORD3293</t>
  </si>
  <si>
    <t>ORD3294</t>
  </si>
  <si>
    <t>ORD3296</t>
  </si>
  <si>
    <t>ORD3297</t>
  </si>
  <si>
    <t>ORD3298</t>
  </si>
  <si>
    <t>ORD3299</t>
  </si>
  <si>
    <t>ORD3300</t>
  </si>
  <si>
    <t>ORD3301</t>
  </si>
  <si>
    <t>ORD3302</t>
  </si>
  <si>
    <t>ORD3303</t>
  </si>
  <si>
    <t>ORD3304</t>
  </si>
  <si>
    <t>ORD3305</t>
  </si>
  <si>
    <t>ORD3307</t>
  </si>
  <si>
    <t>ORD3308</t>
  </si>
  <si>
    <t>ORD3309</t>
  </si>
  <si>
    <t>ORD3311</t>
  </si>
  <si>
    <t>ORD3312</t>
  </si>
  <si>
    <t>ORD3313</t>
  </si>
  <si>
    <t>ORD3314</t>
  </si>
  <si>
    <t>ORD3315</t>
  </si>
  <si>
    <t>ORD3316</t>
  </si>
  <si>
    <t>ORD3317</t>
  </si>
  <si>
    <t>ORD3318</t>
  </si>
  <si>
    <t>ORD3319</t>
  </si>
  <si>
    <t>ORD3320</t>
  </si>
  <si>
    <t>ORD3321</t>
  </si>
  <si>
    <t>ORD3322</t>
  </si>
  <si>
    <t>ORD3323</t>
  </si>
  <si>
    <t>ORD3324</t>
  </si>
  <si>
    <t>ORD3325</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</si>
  <si>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</si>
  <si>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</si>
  <si>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</si>
  <si>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</si>
  <si>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</si>
  <si>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</si>
  <si>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</si>
  <si>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</si>
  <si>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</si>
  <si>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</si>
  <si>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</si>
  <si>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</si>
  <si>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</si>
  <si>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</si>
  <si>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</si>
  <si>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</si>
  <si>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</si>
  <si>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</si>
  <si>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ORD3346</t>
  </si>
  <si>
    <t>ORD3347</t>
  </si>
  <si>
    <t>ORD3348</t>
  </si>
  <si>
    <t>ORD3349</t>
  </si>
  <si>
    <t>ORD3350</t>
  </si>
  <si>
    <t>ORD3351</t>
  </si>
  <si>
    <t>ORD3352</t>
  </si>
  <si>
    <t>ORD3353</t>
  </si>
  <si>
    <t>ORD3354</t>
  </si>
  <si>
    <t>ORD3355</t>
  </si>
  <si>
    <t>ORD3357</t>
  </si>
  <si>
    <t>ORD3358</t>
  </si>
  <si>
    <t>ORD3360</t>
  </si>
  <si>
    <t>ORD3361</t>
  </si>
  <si>
    <t>ORD3362</t>
  </si>
  <si>
    <t>ORD3363</t>
  </si>
  <si>
    <t>ORD3364</t>
  </si>
  <si>
    <t>ORD3366</t>
  </si>
  <si>
    <t>ORD3368</t>
  </si>
  <si>
    <t>ORD3370</t>
  </si>
  <si>
    <t>ORD3371</t>
  </si>
  <si>
    <t>ORD3372</t>
  </si>
  <si>
    <t>ORD3373</t>
  </si>
  <si>
    <t>ORD3374</t>
  </si>
  <si>
    <t>ORD3375</t>
  </si>
  <si>
    <t>ORD3376</t>
  </si>
  <si>
    <t>ORD3378</t>
  </si>
  <si>
    <t>ORD3379</t>
  </si>
  <si>
    <t>ORD3381</t>
  </si>
  <si>
    <t>ORD3382</t>
  </si>
  <si>
    <t>ORD3383</t>
  </si>
  <si>
    <t>ORD3385</t>
  </si>
  <si>
    <t>ORD3386</t>
  </si>
  <si>
    <t>ORD3387</t>
  </si>
  <si>
    <t>ORD3389</t>
  </si>
  <si>
    <t>ORD3391</t>
  </si>
  <si>
    <t>ORD3392</t>
  </si>
  <si>
    <t>ORD3393</t>
  </si>
  <si>
    <t>ORD3394</t>
  </si>
  <si>
    <t>ORD3395</t>
  </si>
  <si>
    <t>ORD3396</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</si>
  <si>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</si>
  <si>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</si>
  <si>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</si>
  <si>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</si>
  <si>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</si>
  <si>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</si>
  <si>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</si>
  <si>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</si>
  <si>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</si>
  <si>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</si>
  <si>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</si>
  <si>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</si>
  <si>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</si>
  <si>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</si>
  <si>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</si>
  <si>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</si>
  <si>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</si>
  <si>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</si>
  <si>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</si>
  <si>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</si>
  <si>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</si>
  <si>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</si>
  <si>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</si>
  <si>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</si>
  <si>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</si>
  <si>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</si>
  <si>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ORD3425</t>
  </si>
  <si>
    <t>ORD3426</t>
  </si>
  <si>
    <t>ORD3427</t>
  </si>
  <si>
    <t>ORD3428</t>
  </si>
  <si>
    <t>ORD3430</t>
  </si>
  <si>
    <t>ORD3431</t>
  </si>
  <si>
    <t>ORD3432</t>
  </si>
  <si>
    <t>ORD3433</t>
  </si>
  <si>
    <t>ORD3434</t>
  </si>
  <si>
    <t>ORD3435</t>
  </si>
  <si>
    <t>ORD3436</t>
  </si>
  <si>
    <t>ORD3437</t>
  </si>
  <si>
    <t>ORD3439</t>
  </si>
  <si>
    <t>ORD3441</t>
  </si>
  <si>
    <t>ORD3442</t>
  </si>
  <si>
    <t>ORD3443</t>
  </si>
  <si>
    <t>ORD3444</t>
  </si>
  <si>
    <t>ORD3445</t>
  </si>
  <si>
    <t>ORD3446</t>
  </si>
  <si>
    <t>ORD3447</t>
  </si>
  <si>
    <t>ORD3448</t>
  </si>
  <si>
    <t>ORD3449</t>
  </si>
  <si>
    <t>ORD3450</t>
  </si>
  <si>
    <t>ORD3451</t>
  </si>
  <si>
    <t>ORD3452</t>
  </si>
  <si>
    <t>ORD3453</t>
  </si>
  <si>
    <t>ORD3455</t>
  </si>
  <si>
    <t>ORD3456</t>
  </si>
  <si>
    <t>ORD3457</t>
  </si>
  <si>
    <t>ORD3458</t>
  </si>
  <si>
    <t>ORD3459</t>
  </si>
  <si>
    <t>ORD3460</t>
  </si>
  <si>
    <t>ORD3461</t>
  </si>
  <si>
    <t>ORD3462</t>
  </si>
  <si>
    <t>ORD3463</t>
  </si>
  <si>
    <t>ORD3464</t>
  </si>
  <si>
    <t>ORD3465</t>
  </si>
  <si>
    <t>ORD3467</t>
  </si>
  <si>
    <t>ORD3469</t>
  </si>
  <si>
    <t>ORD3470</t>
  </si>
  <si>
    <t>ORD3472</t>
  </si>
  <si>
    <t>ORD3473</t>
  </si>
  <si>
    <t>ORD3474</t>
  </si>
  <si>
    <t>ORD3475</t>
  </si>
  <si>
    <t>ORD3476</t>
  </si>
  <si>
    <t>ORD3477</t>
  </si>
  <si>
    <t>ORD3478</t>
  </si>
  <si>
    <t>ORD3479</t>
  </si>
  <si>
    <t>ORD3480</t>
  </si>
  <si>
    <t>ORD3481</t>
  </si>
  <si>
    <t>ORD3482</t>
  </si>
  <si>
    <t>ORD3483</t>
  </si>
  <si>
    <t>ORD3485</t>
  </si>
  <si>
    <t>ORD3489</t>
  </si>
  <si>
    <t>ORD3490</t>
  </si>
  <si>
    <t>ORD3491</t>
  </si>
  <si>
    <t>ORD3492</t>
  </si>
  <si>
    <t>ORD3493</t>
  </si>
  <si>
    <t>ORD3495</t>
  </si>
  <si>
    <t>ORD3497</t>
  </si>
  <si>
    <t>ORD3498</t>
  </si>
  <si>
    <t>ORD3499</t>
  </si>
  <si>
    <t>ORD3500</t>
  </si>
  <si>
    <t>ORD3501</t>
  </si>
  <si>
    <t>ORD3503</t>
  </si>
  <si>
    <t>ORD3504</t>
  </si>
  <si>
    <t>ORD3505</t>
  </si>
  <si>
    <t>ORD3506</t>
  </si>
  <si>
    <t>ORD3507</t>
  </si>
  <si>
    <t>ORD3508</t>
  </si>
  <si>
    <t>ORD3509</t>
  </si>
  <si>
    <t>ORD3511</t>
  </si>
  <si>
    <t>ORD3512</t>
  </si>
  <si>
    <t>ORD3513</t>
  </si>
  <si>
    <t>ORD3515</t>
  </si>
  <si>
    <t>ORD3517</t>
  </si>
  <si>
    <t>ORD3518</t>
  </si>
  <si>
    <t>ORD3519</t>
  </si>
  <si>
    <t>ORD3520</t>
  </si>
  <si>
    <t>ORD3521</t>
  </si>
  <si>
    <t>ORD3522</t>
  </si>
  <si>
    <t>ORD3523</t>
  </si>
  <si>
    <t>ORD3524</t>
  </si>
  <si>
    <t>ORD3525</t>
  </si>
  <si>
    <t>ORD3526</t>
  </si>
  <si>
    <t>ORD3527</t>
  </si>
  <si>
    <t>ORD3528</t>
  </si>
  <si>
    <t>ORD3529</t>
  </si>
  <si>
    <t>ORD3530</t>
  </si>
  <si>
    <t>ORD3531</t>
  </si>
  <si>
    <t>ORD3532</t>
  </si>
  <si>
    <t>ORD3535</t>
  </si>
  <si>
    <t>ORD3536</t>
  </si>
  <si>
    <t>ORD3537</t>
  </si>
  <si>
    <t>ORD3538</t>
  </si>
  <si>
    <t>ORD3539</t>
  </si>
  <si>
    <t>ORD3540</t>
  </si>
  <si>
    <t>ORD3542</t>
  </si>
  <si>
    <t>ORD3543</t>
  </si>
  <si>
    <t>ORD3544</t>
  </si>
  <si>
    <t>ORD3545</t>
  </si>
  <si>
    <t>ORD3549</t>
  </si>
  <si>
    <t>ORD3550</t>
  </si>
  <si>
    <t>ORD3552</t>
  </si>
  <si>
    <t>ORD3553</t>
  </si>
  <si>
    <t>ORD3554</t>
  </si>
  <si>
    <t>ORD3555</t>
  </si>
  <si>
    <t>ORD3556</t>
  </si>
  <si>
    <t>ORD3557</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</si>
  <si>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</si>
  <si>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</si>
  <si>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</si>
  <si>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</si>
  <si>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</si>
  <si>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</si>
  <si>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</si>
  <si>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</si>
  <si>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</si>
  <si>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</si>
  <si>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</si>
  <si>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</si>
  <si>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</si>
  <si>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</si>
  <si>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</si>
  <si>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</si>
  <si>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</si>
  <si>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</si>
  <si>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</si>
  <si>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</si>
  <si>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ORD3583</t>
  </si>
  <si>
    <t>ORD3584</t>
  </si>
  <si>
    <t>ORD3585</t>
  </si>
  <si>
    <t>ORD3587</t>
  </si>
  <si>
    <t>ORD3589</t>
  </si>
  <si>
    <t>ORD3590</t>
  </si>
  <si>
    <t>ORD3591</t>
  </si>
  <si>
    <t>ORD3592</t>
  </si>
  <si>
    <t>ORD3594</t>
  </si>
  <si>
    <t>ORD3595</t>
  </si>
  <si>
    <t>ORD3596</t>
  </si>
  <si>
    <t>ORD3597</t>
  </si>
  <si>
    <t>ORD3598</t>
  </si>
  <si>
    <t>ORD3599</t>
  </si>
  <si>
    <t>ORD3600</t>
  </si>
  <si>
    <t>ORD3602</t>
  </si>
  <si>
    <t>ORD3603</t>
  </si>
  <si>
    <t>ORD3604</t>
  </si>
  <si>
    <t>ORD3605</t>
  </si>
  <si>
    <t>ORD3607</t>
  </si>
  <si>
    <t>ORD3608</t>
  </si>
  <si>
    <t>ORD3609</t>
  </si>
  <si>
    <t>ORD3610</t>
  </si>
  <si>
    <t>ORD3611</t>
  </si>
  <si>
    <t>ORD3612</t>
  </si>
  <si>
    <t>ORD3616</t>
  </si>
  <si>
    <t>ORD3617</t>
  </si>
  <si>
    <t>ORD3618</t>
  </si>
  <si>
    <t>ORD3619</t>
  </si>
  <si>
    <t>ORD3620</t>
  </si>
  <si>
    <t>ORD3623</t>
  </si>
  <si>
    <t>ORD3624</t>
  </si>
  <si>
    <t>ORD3625</t>
  </si>
  <si>
    <t>ORD3626</t>
  </si>
  <si>
    <t>ORD3627</t>
  </si>
  <si>
    <t>ORD3628</t>
  </si>
  <si>
    <t>ORD3629</t>
  </si>
  <si>
    <t>ORD3630</t>
  </si>
  <si>
    <t>ORD3635</t>
  </si>
  <si>
    <t>ORD3636</t>
  </si>
  <si>
    <t>ORD3638</t>
  </si>
  <si>
    <t>ORD3639</t>
  </si>
  <si>
    <t>ORD3640</t>
  </si>
  <si>
    <t>ORD3641</t>
  </si>
  <si>
    <t>ORD3642</t>
  </si>
  <si>
    <t>ORD3643</t>
  </si>
  <si>
    <t>ORD3644</t>
  </si>
  <si>
    <t>ORD3646</t>
  </si>
  <si>
    <t>ORD3647</t>
  </si>
  <si>
    <t>ORD3648</t>
  </si>
  <si>
    <t>ORD3649</t>
  </si>
  <si>
    <t>ORD3650</t>
  </si>
  <si>
    <t>ORD3651</t>
  </si>
  <si>
    <t>ORD3652</t>
  </si>
  <si>
    <t>ORD3653</t>
  </si>
  <si>
    <t>ORD3654</t>
  </si>
  <si>
    <t>ORD3655</t>
  </si>
  <si>
    <t>ORD3656</t>
  </si>
  <si>
    <t>ORD3657</t>
  </si>
  <si>
    <t>ORD3658</t>
  </si>
  <si>
    <t>ORD3659</t>
  </si>
  <si>
    <t>ORD3661</t>
  </si>
  <si>
    <t>ORD3662</t>
  </si>
  <si>
    <t>ORD3663</t>
  </si>
  <si>
    <t>ORD3664</t>
  </si>
  <si>
    <t>ORD3665</t>
  </si>
  <si>
    <t>ORD3666</t>
  </si>
  <si>
    <t>ORD3667</t>
  </si>
  <si>
    <t>ORD3668</t>
  </si>
  <si>
    <t>ORD3670</t>
  </si>
  <si>
    <t>ORD3671</t>
  </si>
  <si>
    <t>ORD3672</t>
  </si>
  <si>
    <t>ORD3673</t>
  </si>
  <si>
    <t>ORD3674</t>
  </si>
  <si>
    <t>ORD3676</t>
  </si>
  <si>
    <t>ORD3677</t>
  </si>
  <si>
    <t>ORD3678</t>
  </si>
  <si>
    <t>ORD3680</t>
  </si>
  <si>
    <t>ORD3683</t>
  </si>
  <si>
    <t>ORD3684</t>
  </si>
  <si>
    <t>ORD3685</t>
  </si>
  <si>
    <t>ORD3686</t>
  </si>
  <si>
    <t>ORD3687</t>
  </si>
  <si>
    <t>ORD3689</t>
  </si>
  <si>
    <t>ORD3690</t>
  </si>
  <si>
    <t>ORD3691</t>
  </si>
  <si>
    <t>ORD3693</t>
  </si>
  <si>
    <t>ORD3694</t>
  </si>
  <si>
    <t>ORD3696</t>
  </si>
  <si>
    <t>ORD3697</t>
  </si>
  <si>
    <t>ORD3698</t>
  </si>
  <si>
    <t>ORD3699</t>
  </si>
  <si>
    <t>ORD3700</t>
  </si>
  <si>
    <t>ORD3701</t>
  </si>
  <si>
    <t>ORD3702</t>
  </si>
  <si>
    <t>ORD3703</t>
  </si>
  <si>
    <t>ORD3704</t>
  </si>
  <si>
    <t>ORD3705</t>
  </si>
  <si>
    <t>ORD3706</t>
  </si>
  <si>
    <t>ORD3708</t>
  </si>
  <si>
    <t>ORD3709</t>
  </si>
  <si>
    <t>ORD3710</t>
  </si>
  <si>
    <t>ORD3711</t>
  </si>
  <si>
    <t>ORD3712</t>
  </si>
  <si>
    <t>ORD3714</t>
  </si>
  <si>
    <t>ORD3715</t>
  </si>
  <si>
    <t>ORD3717</t>
  </si>
  <si>
    <t>ORD3718</t>
  </si>
  <si>
    <t>ORD3719</t>
  </si>
  <si>
    <t>ORD3720</t>
  </si>
  <si>
    <t>ORD3721</t>
  </si>
  <si>
    <t>ORD3722</t>
  </si>
  <si>
    <t>ORD3724</t>
  </si>
  <si>
    <t>ORD3725</t>
  </si>
  <si>
    <t>ORD3726</t>
  </si>
  <si>
    <t>ORD3729</t>
  </si>
  <si>
    <t>ORD3730</t>
  </si>
  <si>
    <t>ORD3731</t>
  </si>
  <si>
    <t>ORD3732</t>
  </si>
  <si>
    <t>ORD3733</t>
  </si>
  <si>
    <t>ORD3734</t>
  </si>
  <si>
    <t>ORD3735</t>
  </si>
  <si>
    <t>ORD3736</t>
  </si>
  <si>
    <t>ORD3737</t>
  </si>
  <si>
    <t>ORD3739</t>
  </si>
  <si>
    <t>ORD3740</t>
  </si>
  <si>
    <t>ORD3741</t>
  </si>
  <si>
    <t>ORD3743</t>
  </si>
  <si>
    <t>ORD3744</t>
  </si>
  <si>
    <t>ORD3745</t>
  </si>
  <si>
    <t>ORD3747</t>
  </si>
  <si>
    <t>ORD3749</t>
  </si>
  <si>
    <t>ORD3750</t>
  </si>
  <si>
    <t>ORD3751</t>
  </si>
  <si>
    <t>ORD3752</t>
  </si>
  <si>
    <t>ORD3753</t>
  </si>
  <si>
    <t>ORD3754</t>
  </si>
  <si>
    <t>ORD3755</t>
  </si>
  <si>
    <t>ORD3756</t>
  </si>
  <si>
    <t>ORD3757</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</si>
  <si>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</si>
  <si>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</si>
  <si>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</si>
  <si>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</si>
  <si>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</si>
  <si>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</si>
  <si>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</si>
  <si>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</si>
  <si>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</si>
  <si>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</si>
  <si>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</si>
  <si>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</si>
  <si>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</si>
  <si>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</si>
  <si>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</si>
  <si>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</si>
  <si>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</si>
  <si>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</si>
  <si>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</si>
  <si>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</si>
  <si>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</si>
  <si>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</si>
  <si>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</si>
  <si>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ORD3783</t>
  </si>
  <si>
    <t>ORD3784</t>
  </si>
  <si>
    <t>ORD3786</t>
  </si>
  <si>
    <t>ORD3787</t>
  </si>
  <si>
    <t>ORD3789</t>
  </si>
  <si>
    <t>ORD3790</t>
  </si>
  <si>
    <t>ORD3791</t>
  </si>
  <si>
    <t>ORD3792</t>
  </si>
  <si>
    <t>ORD3793</t>
  </si>
  <si>
    <t>ORD3794</t>
  </si>
  <si>
    <t>ORD3795</t>
  </si>
  <si>
    <t>ORD3796</t>
  </si>
  <si>
    <t>ORD3797</t>
  </si>
  <si>
    <t>ORD3799</t>
  </si>
  <si>
    <t>ORD3800</t>
  </si>
  <si>
    <t>ORD3801</t>
  </si>
  <si>
    <t>ORD3804</t>
  </si>
  <si>
    <t>ORD3806</t>
  </si>
  <si>
    <t>ORD3808</t>
  </si>
  <si>
    <t>ORD3810</t>
  </si>
  <si>
    <t>ORD3811</t>
  </si>
  <si>
    <t>ORD3812</t>
  </si>
  <si>
    <t>ORD3813</t>
  </si>
  <si>
    <t>ORD3814</t>
  </si>
  <si>
    <t>ORD3815</t>
  </si>
  <si>
    <t>ORD3817</t>
  </si>
  <si>
    <t>ORD3818</t>
  </si>
  <si>
    <t>ORD3819</t>
  </si>
  <si>
    <t>ORD3820</t>
  </si>
  <si>
    <t>ORD3821</t>
  </si>
  <si>
    <t>ORD3822</t>
  </si>
  <si>
    <t>ORD3823</t>
  </si>
  <si>
    <t>ORD3824</t>
  </si>
  <si>
    <t>ORD3825</t>
  </si>
  <si>
    <t>ORD3826</t>
  </si>
  <si>
    <t>ORD3827</t>
  </si>
  <si>
    <t>ORD3828</t>
  </si>
  <si>
    <t>ORD3829</t>
  </si>
  <si>
    <t>ORD3830</t>
  </si>
  <si>
    <t>ORD3832</t>
  </si>
  <si>
    <t>ORD3833</t>
  </si>
  <si>
    <t>ORD3834</t>
  </si>
  <si>
    <t>ORD3836</t>
  </si>
  <si>
    <t>ORD3837</t>
  </si>
  <si>
    <t>ORD3838</t>
  </si>
  <si>
    <t>ORD3839</t>
  </si>
  <si>
    <t>ORD3841</t>
  </si>
  <si>
    <t>ORD3842</t>
  </si>
  <si>
    <t>ORD3843</t>
  </si>
  <si>
    <t>ORD3844</t>
  </si>
  <si>
    <t>ORD3845</t>
  </si>
  <si>
    <t>ORD3846</t>
  </si>
  <si>
    <t>ORD3849</t>
  </si>
  <si>
    <t>ORD3850</t>
  </si>
  <si>
    <t>ORD3851</t>
  </si>
  <si>
    <t>ORD3852</t>
  </si>
  <si>
    <t>ORD3854</t>
  </si>
  <si>
    <t>ORD3855</t>
  </si>
  <si>
    <t>ORD3856</t>
  </si>
  <si>
    <t>ORD3857</t>
  </si>
  <si>
    <t>ORD3859</t>
  </si>
  <si>
    <t>ORD3860</t>
  </si>
  <si>
    <t>ORD3861</t>
  </si>
  <si>
    <t>ORD3862</t>
  </si>
  <si>
    <t>ORD3863</t>
  </si>
  <si>
    <t>ORD3864</t>
  </si>
  <si>
    <t>ORD3866</t>
  </si>
  <si>
    <t>ORD3867</t>
  </si>
  <si>
    <t>ORD3870</t>
  </si>
  <si>
    <t>ORD3871</t>
  </si>
  <si>
    <t>ORD3872</t>
  </si>
  <si>
    <t>ORD3873</t>
  </si>
  <si>
    <t>ORD3874</t>
  </si>
  <si>
    <t>ORD3876</t>
  </si>
  <si>
    <t>ORD3877</t>
  </si>
  <si>
    <t>ORD3880</t>
  </si>
  <si>
    <t>ORD3881</t>
  </si>
  <si>
    <t>ORD3882</t>
  </si>
  <si>
    <t>ORD3883</t>
  </si>
  <si>
    <t>ORD3885</t>
  </si>
  <si>
    <t>ORD3886</t>
  </si>
  <si>
    <t>ORD3887</t>
  </si>
  <si>
    <t>ORD3889</t>
  </si>
  <si>
    <t>ORD3890</t>
  </si>
  <si>
    <t>ORD3891</t>
  </si>
  <si>
    <t>ORD3892</t>
  </si>
  <si>
    <t>ORD3893</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</si>
  <si>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</si>
  <si>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</si>
  <si>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</si>
  <si>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</si>
  <si>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</si>
  <si>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</si>
  <si>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</si>
  <si>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</si>
  <si>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</si>
  <si>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</si>
  <si>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</si>
  <si>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</si>
  <si>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</si>
  <si>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</si>
  <si>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</si>
  <si>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</si>
  <si>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</si>
  <si>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ORD3914</t>
  </si>
  <si>
    <t>ORD3915</t>
  </si>
  <si>
    <t>ORD3916</t>
  </si>
  <si>
    <t>ORD3919</t>
  </si>
  <si>
    <t>ORD3920</t>
  </si>
  <si>
    <t>ORD3921</t>
  </si>
  <si>
    <t>ORD3922</t>
  </si>
  <si>
    <t>ORD3923</t>
  </si>
  <si>
    <t>ORD3924</t>
  </si>
  <si>
    <t>ORD3925</t>
  </si>
  <si>
    <t>ORD3926</t>
  </si>
  <si>
    <t>ORD3927</t>
  </si>
  <si>
    <t>ORD3928</t>
  </si>
  <si>
    <t>ORD3929</t>
  </si>
  <si>
    <t>ORD3932</t>
  </si>
  <si>
    <t>ORD3934</t>
  </si>
  <si>
    <t>ORD3936</t>
  </si>
  <si>
    <t>ORD3937</t>
  </si>
  <si>
    <t>ORD3938</t>
  </si>
  <si>
    <t>ORD3939</t>
  </si>
  <si>
    <t>ORD3941</t>
  </si>
  <si>
    <t>ORD3946</t>
  </si>
  <si>
    <t>ORD3948</t>
  </si>
  <si>
    <t>ORD3949</t>
  </si>
  <si>
    <t>ORD3950</t>
  </si>
  <si>
    <t>ORD3951</t>
  </si>
  <si>
    <t>ORD3952</t>
  </si>
  <si>
    <t>ORD3953</t>
  </si>
  <si>
    <t>ORD3954</t>
  </si>
  <si>
    <t>ORD3955</t>
  </si>
  <si>
    <t>ORD3956</t>
  </si>
  <si>
    <t>ORD3957</t>
  </si>
  <si>
    <t>ORD3959</t>
  </si>
  <si>
    <t>ORD3960</t>
  </si>
  <si>
    <t>ORD3961</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</si>
  <si>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</si>
  <si>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</si>
  <si>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</si>
  <si>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</si>
  <si>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</si>
  <si>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</si>
  <si>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</si>
  <si>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</si>
  <si>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</si>
  <si>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</si>
  <si>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</si>
  <si>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</si>
  <si>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</si>
  <si>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</si>
  <si>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</si>
  <si>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</si>
  <si>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</si>
  <si>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</si>
  <si>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</si>
  <si>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</si>
  <si>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</si>
  <si>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ORD3985</t>
  </si>
  <si>
    <t>ORD3986</t>
  </si>
  <si>
    <t>ORD3987</t>
  </si>
  <si>
    <t>ORD3988</t>
  </si>
  <si>
    <t>ORD3989</t>
  </si>
  <si>
    <t>ORD3991</t>
  </si>
  <si>
    <t>ORD3994</t>
  </si>
  <si>
    <t>ORD3996</t>
  </si>
  <si>
    <t>ORD3998</t>
  </si>
  <si>
    <t>ORD3999</t>
  </si>
  <si>
    <t>ORD31000</t>
  </si>
  <si>
    <t>ORD31001</t>
  </si>
  <si>
    <t>ORD31002</t>
  </si>
  <si>
    <t>ORD31003</t>
  </si>
  <si>
    <t>ORD31004</t>
  </si>
  <si>
    <t>ORD31005</t>
  </si>
  <si>
    <t>ORD31006</t>
  </si>
  <si>
    <t>ORD31007</t>
  </si>
  <si>
    <t>ORD31008</t>
  </si>
  <si>
    <t>ORD31009</t>
  </si>
  <si>
    <t>ORD31010</t>
  </si>
  <si>
    <t>ORD31011</t>
  </si>
  <si>
    <t>ORD31012</t>
  </si>
  <si>
    <t>ORD31013</t>
  </si>
  <si>
    <t>ORD31016</t>
  </si>
  <si>
    <t>ORD31018</t>
  </si>
  <si>
    <t>ORD31019</t>
  </si>
  <si>
    <t>ORD31020</t>
  </si>
  <si>
    <t>ORD31021</t>
  </si>
  <si>
    <t>ORD31022</t>
  </si>
  <si>
    <t>ORD31023</t>
  </si>
  <si>
    <t>ORD31024</t>
  </si>
  <si>
    <t>ORD31025</t>
  </si>
  <si>
    <t>ORD31027</t>
  </si>
  <si>
    <t>ORD31028</t>
  </si>
  <si>
    <t>ORD31031</t>
  </si>
  <si>
    <t>ORD31032</t>
  </si>
  <si>
    <t>ORD31033</t>
  </si>
  <si>
    <t>ORD31035</t>
  </si>
  <si>
    <t>ORD31036</t>
  </si>
  <si>
    <t>ORD31037</t>
  </si>
  <si>
    <t>ORD31038</t>
  </si>
  <si>
    <t>ORD31039</t>
  </si>
  <si>
    <t>ORD31043</t>
  </si>
  <si>
    <t>ORD31044</t>
  </si>
  <si>
    <t>ORD31045</t>
  </si>
  <si>
    <t>ORD31047</t>
  </si>
  <si>
    <t>ORD31048</t>
  </si>
  <si>
    <t>ORD31049</t>
  </si>
  <si>
    <t>ORD31050</t>
  </si>
  <si>
    <t>ORD31051</t>
  </si>
  <si>
    <t>ORD31052</t>
  </si>
  <si>
    <t>ORD31053</t>
  </si>
  <si>
    <t>ORD31054</t>
  </si>
  <si>
    <t>ORD31056</t>
  </si>
  <si>
    <t>ORD31057</t>
  </si>
  <si>
    <t>ORD31058</t>
  </si>
  <si>
    <t>ORD31059</t>
  </si>
  <si>
    <t>ORD31060</t>
  </si>
  <si>
    <t>ORD31061</t>
  </si>
  <si>
    <t>ORD31062</t>
  </si>
  <si>
    <t>ORD31063</t>
  </si>
  <si>
    <t>ORD31064</t>
  </si>
  <si>
    <t>ORD31065</t>
  </si>
  <si>
    <t>ORD31066</t>
  </si>
  <si>
    <t>ORD31067</t>
  </si>
  <si>
    <t>ORD31068</t>
  </si>
  <si>
    <t>ORD31069</t>
  </si>
  <si>
    <t>ORD31070</t>
  </si>
  <si>
    <t>ORD31071</t>
  </si>
  <si>
    <t>ORD31072</t>
  </si>
  <si>
    <t>ORD31073</t>
  </si>
  <si>
    <t>ORD31074</t>
  </si>
  <si>
    <t>ORD31075</t>
  </si>
  <si>
    <t>ORD31076</t>
  </si>
  <si>
    <t>ORD31078</t>
  </si>
  <si>
    <t>ORD31079</t>
  </si>
  <si>
    <t>ORD31080</t>
  </si>
  <si>
    <t>ORD31081</t>
  </si>
  <si>
    <t>ORD31082</t>
  </si>
  <si>
    <t>ORD31083</t>
  </si>
  <si>
    <t>ORD31084</t>
  </si>
  <si>
    <t>ORD31085</t>
  </si>
  <si>
    <t>ORD31086</t>
  </si>
  <si>
    <t>ORD31087</t>
  </si>
  <si>
    <t>ORD31088</t>
  </si>
  <si>
    <t>ORD31089</t>
  </si>
  <si>
    <t>ORD31090</t>
  </si>
  <si>
    <t>ORD31091</t>
  </si>
  <si>
    <t>ORD31092</t>
  </si>
  <si>
    <t>ORD31093</t>
  </si>
  <si>
    <t>ORD31094</t>
  </si>
  <si>
    <t>ORD31095</t>
  </si>
  <si>
    <t>ORD31099</t>
  </si>
  <si>
    <t>ORD31101</t>
  </si>
  <si>
    <t>ORD31102</t>
  </si>
  <si>
    <t>ORD31103</t>
  </si>
  <si>
    <t>ORD31104</t>
  </si>
  <si>
    <t>ORD31107</t>
  </si>
  <si>
    <t>ORD31108</t>
  </si>
  <si>
    <t>ORD31110</t>
  </si>
  <si>
    <t>ORD31111</t>
  </si>
  <si>
    <t>ORD31113</t>
  </si>
  <si>
    <t>ORD31114</t>
  </si>
  <si>
    <t>ORD31115</t>
  </si>
  <si>
    <t>ORD31117</t>
  </si>
  <si>
    <t>ORD31118</t>
  </si>
  <si>
    <t>ORD31119</t>
  </si>
  <si>
    <t>ORD31121</t>
  </si>
  <si>
    <t>ORD31123</t>
  </si>
  <si>
    <t>ORD31124</t>
  </si>
  <si>
    <t>ORD31125</t>
  </si>
  <si>
    <t>ORD31126</t>
  </si>
  <si>
    <t>ORD31127</t>
  </si>
  <si>
    <t>ORD31128</t>
  </si>
  <si>
    <t>ORD31129</t>
  </si>
  <si>
    <t>ORD31130</t>
  </si>
  <si>
    <t>ORD31132</t>
  </si>
  <si>
    <t>ORD31133</t>
  </si>
  <si>
    <t>ORD31134</t>
  </si>
  <si>
    <t>ORD31136</t>
  </si>
  <si>
    <t>ORD31138</t>
  </si>
  <si>
    <t>ORD31139</t>
  </si>
  <si>
    <t>ORD31140</t>
  </si>
  <si>
    <t>ORD31141</t>
  </si>
  <si>
    <t>ORD31142</t>
  </si>
  <si>
    <t>ORD31144</t>
  </si>
  <si>
    <t>ORD31145</t>
  </si>
  <si>
    <t>ORD31146</t>
  </si>
  <si>
    <t>ORD31148</t>
  </si>
  <si>
    <t>ORD31149</t>
  </si>
  <si>
    <t>ORD31150</t>
  </si>
  <si>
    <t>ORD31152</t>
  </si>
  <si>
    <t>ORD31153</t>
  </si>
  <si>
    <t>ORD31154</t>
  </si>
  <si>
    <t>ORD31155</t>
  </si>
  <si>
    <t>ORD31156</t>
  </si>
  <si>
    <t>ORD31158</t>
  </si>
  <si>
    <t>ORD31160</t>
  </si>
  <si>
    <t>ORD31161</t>
  </si>
  <si>
    <t>ORD31162</t>
  </si>
  <si>
    <t>ORD31163</t>
  </si>
  <si>
    <t>ORD31164</t>
  </si>
  <si>
    <t>ORD31165</t>
  </si>
  <si>
    <t>ORD31166</t>
  </si>
  <si>
    <t>ORD31167</t>
  </si>
  <si>
    <t>ORD31169</t>
  </si>
  <si>
    <t>ORD31170</t>
  </si>
  <si>
    <t>ORD31171</t>
  </si>
  <si>
    <t>ORD31172</t>
  </si>
  <si>
    <t>ORD31173</t>
  </si>
  <si>
    <t>ORD31174</t>
  </si>
  <si>
    <t>ORD31175</t>
  </si>
  <si>
    <t>ORD31176</t>
  </si>
  <si>
    <t>ORD31178</t>
  </si>
  <si>
    <t>ORD31179</t>
  </si>
  <si>
    <t>ORD31180</t>
  </si>
  <si>
    <t>ORD31182</t>
  </si>
  <si>
    <t>ORD31183</t>
  </si>
  <si>
    <t>ORD31184</t>
  </si>
  <si>
    <t>ORD31185</t>
  </si>
  <si>
    <t>ORD31186</t>
  </si>
  <si>
    <t>ORD31187</t>
  </si>
  <si>
    <t>ORD31188</t>
  </si>
  <si>
    <t>ORD31191</t>
  </si>
  <si>
    <t>ORD31192</t>
  </si>
  <si>
    <t>ORD31193</t>
  </si>
  <si>
    <t>ORD31196</t>
  </si>
  <si>
    <t>ORD31198</t>
  </si>
  <si>
    <t>pp</t>
  </si>
  <si>
    <t>oo</t>
  </si>
  <si>
    <t>Revenue</t>
  </si>
  <si>
    <t>Row Labels</t>
  </si>
  <si>
    <t>Grand Total</t>
  </si>
  <si>
    <t>2023</t>
  </si>
  <si>
    <t>2024</t>
  </si>
  <si>
    <t>Sum of Revenue</t>
  </si>
  <si>
    <t>Jan</t>
  </si>
  <si>
    <t>Month_Wise_Revanue</t>
  </si>
  <si>
    <t>Region_wise_Revanue</t>
  </si>
  <si>
    <t>Product_Wise_Revanue</t>
  </si>
  <si>
    <t>Insights</t>
  </si>
  <si>
    <t>Count of Product</t>
  </si>
  <si>
    <t>Region_Wise_Product_Sales</t>
  </si>
  <si>
    <t>I Create a pivot tables for better Undersatand of Sale Analysis per  Year wise and Month wise</t>
  </si>
  <si>
    <t>And  I  showing the high sales of products in every particular region  and I Observe that in every region have aprocimate sales range.</t>
  </si>
  <si>
    <t xml:space="preserve">We Observed the revanue by showing Region wise . And I observe that revanue is highly genrated in west side,and other  region is near same revanue genrated                        </t>
  </si>
  <si>
    <t>We shown the revanue by Product wise . To understand product wise revanue . We observed that is highly impact of monitor sales in product revanue</t>
  </si>
  <si>
    <t>Feb</t>
  </si>
  <si>
    <t>Mar</t>
  </si>
  <si>
    <t>Apr</t>
  </si>
  <si>
    <t>May</t>
  </si>
  <si>
    <t>Jun</t>
  </si>
  <si>
    <t>Jul</t>
  </si>
  <si>
    <t>Aug</t>
  </si>
  <si>
    <t>Sep</t>
  </si>
  <si>
    <t>Oct</t>
  </si>
  <si>
    <t>Nov</t>
  </si>
  <si>
    <t>Dec</t>
  </si>
  <si>
    <t>Count of OrderID</t>
  </si>
  <si>
    <t>Sales Performance Dashboard 2023</t>
  </si>
  <si>
    <t xml:space="preserve"> </t>
  </si>
  <si>
    <t>Sum of Quantity</t>
  </si>
  <si>
    <t>Trend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</si>
</sst>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10" x14ac:knownFonts="1">
    <font>
      <sz val="11"/>
      <color theme="1"/>
      <name val="Calibri"/>
      <family val="2"/>
      <scheme val="minor"/>
    </font>
    <font>
      <sz val="16"/>
      <color theme="5" tint="-0.249977111117893"/>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sz val="22"/>
      <color theme="1" tint="0.14999847407452621"/>
      <name val="Calibri"/>
      <family val="2"/>
      <scheme val="minor"/>
    </font>
    <font>
      <sz val="12"/>
      <color theme="1" tint="0.14999847407452621"/>
      <name val="Calibri"/>
      <family val="2"/>
      <scheme val="minor"/>
    </font>
    <font>
      <sz val="22"/>
      <color theme="1" tint="4.9989318521683403E-2"/>
      <name val="Calibri"/>
      <family val="2"/>
      <scheme val="minor"/>
    </font>
    <font>
      <b/>
      <i/>
      <u/>
      <sz val="22"/>
      <color theme="1" tint="4.9989318521683403E-2"/>
      <name val="Calibri"/>
      <family val="2"/>
      <scheme val="minor"/>
    </font>
    <font>
      <sz val="16"/>
      <color rgb="FF000000"/>
      <name val="Calibri"/>
      <family val="2"/>
      <scheme val="minor"/>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center"/>
    </xf>
    <xf numFmtId="164" fontId="0" fillId="0" borderId="0" xfId="0" applyNumberFormat="1"/>
    <xf numFmtId="0" fontId="0" fillId="3" borderId="0" xfId="0" applyFill="1"/>
    <xf numFmtId="164" fontId="0" fillId="3" borderId="0" xfId="0" applyNumberFormat="1" applyFill="1"/>
    <xf numFmtId="0" fontId="5" fillId="3" borderId="0" xfId="0" applyFont="1" applyFill="1"/>
    <xf numFmtId="164" fontId="6" fillId="3" borderId="0" xfId="0" applyNumberFormat="1" applyFont="1" applyFill="1"/>
    <xf numFmtId="0" fontId="6" fillId="3" borderId="0" xfId="0" applyFont="1" applyFill="1"/>
    <xf numFmtId="0" fontId="3" fillId="3" borderId="0" xfId="0" applyFont="1" applyFill="1"/>
    <xf numFmtId="0" fontId="4" fillId="3" borderId="0" xfId="0" applyFont="1" applyFill="1"/>
    <xf numFmtId="0" fontId="8" fillId="2" borderId="0" xfId="0" applyFont="1" applyFill="1" applyAlignment="1">
      <alignment horizontal="center"/>
    </xf>
    <xf numFmtId="0" fontId="7" fillId="2" borderId="0" xfId="0" applyFont="1" applyFill="1" applyAlignment="1">
      <alignment horizontal="center"/>
    </xf>
    <xf numFmtId="0" fontId="6" fillId="3" borderId="0" xfId="0" applyFont="1" applyFill="1" applyAlignment="1">
      <alignment horizontal="center"/>
    </xf>
    <xf numFmtId="0" fontId="5" fillId="3" borderId="0" xfId="0" applyFont="1" applyFill="1" applyAlignment="1">
      <alignment horizontal="center"/>
    </xf>
    <xf numFmtId="0" fontId="9" fillId="0" borderId="0" xfId="0" applyFont="1" applyAlignment="1">
      <alignment horizontal="center"/>
    </xf>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cellXfs>
  <cellStyles count="1">
    <cellStyle name="Normal" xfId="0" builtinId="0"/>
  </cellStyles>
  <dxfs count="21">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dxf>
    <dxf>
      <numFmt numFmtId="0" formatCode="General"/>
    </dxf>
    <dxf>
      <numFmt numFmtId="164" formatCode="&quot;₹&quot;\ #,##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[M_Suresh_messy.xlsx]Sheet1!PivotTable2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8698497565321376E-3"/>
              <c:y val="-9.997109991855435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1758738792723029E-2"/>
              <c:y val="-0.1424969773399664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0770794859931408E-2"/>
              <c:y val="-0.116327206619097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0267125276246203E-3"/>
              <c:y val="0.102844623168180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3863313973451122E-2"/>
              <c:y val="-0.191565297441595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649730084090207E-2"/>
              <c:y val="6.358996708687694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9647627828913692E-2"/>
              <c:y val="-9.9971099918554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0699915419277775E-2"/>
              <c:y val="-0.165395526720726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2.0706451202358714E-2"/>
              <c:y val="7.99460737874200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5438477467456972E-2"/>
              <c:y val="-0.1326833133196405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3.1823082450295588E-2"/>
              <c:y val="6.03187457467683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1.8601876021630392E-2"/>
              <c:y val="-0.122869649299314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lineChart>
        <c:grouping val="standard"/>
        <c:varyColors val="0"/>
        <c:ser>
          <c:idx val="0"/>
          <c:order val="0"/>
          <c:tx>
            <c:strRef>
              <c:f>Sheet1!$L$3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B-518D-44F5-B7EC-41474149AA0D}"/>
              </c:ext>
            </c:extLst>
          </c:dPt>
          <c:dPt>
            <c:idx val="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A-518D-44F5-B7EC-41474149AA0D}"/>
              </c:ext>
            </c:extLst>
          </c:dPt>
          <c:dPt>
            <c:idx val="2"/>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9-518D-44F5-B7EC-41474149AA0D}"/>
              </c:ext>
            </c:extLst>
          </c:dPt>
          <c:dPt>
            <c:idx val="3"/>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8-518D-44F5-B7EC-41474149AA0D}"/>
              </c:ext>
            </c:extLst>
          </c:dPt>
          <c:dPt>
            <c:idx val="4"/>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7-518D-44F5-B7EC-41474149AA0D}"/>
              </c:ext>
            </c:extLst>
          </c:dPt>
          <c:dPt>
            <c:idx val="5"/>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6-518D-44F5-B7EC-41474149AA0D}"/>
              </c:ext>
            </c:extLst>
          </c:dPt>
          <c:dPt>
            <c:idx val="6"/>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5-518D-44F5-B7EC-41474149AA0D}"/>
              </c:ext>
            </c:extLst>
          </c:dPt>
          <c:dPt>
            <c:idx val="7"/>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4-518D-44F5-B7EC-41474149AA0D}"/>
              </c:ext>
            </c:extLst>
          </c:dPt>
          <c:dPt>
            <c:idx val="8"/>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3-518D-44F5-B7EC-41474149AA0D}"/>
              </c:ext>
            </c:extLst>
          </c:dPt>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518D-44F5-B7EC-41474149AA0D}"/>
              </c:ext>
            </c:extLst>
          </c:dPt>
          <c:dPt>
            <c:idx val="10"/>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2-518D-44F5-B7EC-41474149AA0D}"/>
              </c:ext>
            </c:extLst>
          </c:dPt>
          <c:dPt>
            <c:idx val="11"/>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0-518D-44F5-B7EC-41474149AA0D}"/>
              </c:ext>
            </c:extLst>
          </c:dPt>
          <c:dLbls>
            <c:dLbl>
              <c:idx val="0"/>
              <c:layout>
                <c:manualLayout>
                  <c:x val="-1.8601876021630392E-2"/>
                  <c:y val="-0.122869649299314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18D-44F5-B7EC-41474149AA0D}"/>
                </c:ext>
              </c:extLst>
            </c:dLbl>
            <c:dLbl>
              <c:idx val="1"/>
              <c:layout>
                <c:manualLayout>
                  <c:x val="-3.1823082450295588E-2"/>
                  <c:y val="6.031874574676837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18D-44F5-B7EC-41474149AA0D}"/>
                </c:ext>
              </c:extLst>
            </c:dLbl>
            <c:dLbl>
              <c:idx val="2"/>
              <c:layout>
                <c:manualLayout>
                  <c:x val="-3.5438477467456972E-2"/>
                  <c:y val="-0.132683313319640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18D-44F5-B7EC-41474149AA0D}"/>
                </c:ext>
              </c:extLst>
            </c:dLbl>
            <c:dLbl>
              <c:idx val="3"/>
              <c:layout>
                <c:manualLayout>
                  <c:x val="-2.0706451202358714E-2"/>
                  <c:y val="7.994607378742001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18D-44F5-B7EC-41474149AA0D}"/>
                </c:ext>
              </c:extLst>
            </c:dLbl>
            <c:dLbl>
              <c:idx val="4"/>
              <c:layout>
                <c:manualLayout>
                  <c:x val="-4.0699915419277775E-2"/>
                  <c:y val="-0.1653955267207268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18D-44F5-B7EC-41474149AA0D}"/>
                </c:ext>
              </c:extLst>
            </c:dLbl>
            <c:dLbl>
              <c:idx val="5"/>
              <c:layout>
                <c:manualLayout>
                  <c:x val="-3.9647627828913692E-2"/>
                  <c:y val="-9.9971099918554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18D-44F5-B7EC-41474149AA0D}"/>
                </c:ext>
              </c:extLst>
            </c:dLbl>
            <c:dLbl>
              <c:idx val="6"/>
              <c:layout>
                <c:manualLayout>
                  <c:x val="-1.649730084090207E-2"/>
                  <c:y val="6.35899670868769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18D-44F5-B7EC-41474149AA0D}"/>
                </c:ext>
              </c:extLst>
            </c:dLbl>
            <c:dLbl>
              <c:idx val="7"/>
              <c:layout>
                <c:manualLayout>
                  <c:x val="-2.3863313973451122E-2"/>
                  <c:y val="-0.1915652974415958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18D-44F5-B7EC-41474149AA0D}"/>
                </c:ext>
              </c:extLst>
            </c:dLbl>
            <c:dLbl>
              <c:idx val="8"/>
              <c:layout>
                <c:manualLayout>
                  <c:x val="-7.0267125276246203E-3"/>
                  <c:y val="0.1028446231681804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18D-44F5-B7EC-41474149AA0D}"/>
                </c:ext>
              </c:extLst>
            </c:dLbl>
            <c:dLbl>
              <c:idx val="9"/>
              <c:layout>
                <c:manualLayout>
                  <c:x val="-2.1758738792723029E-2"/>
                  <c:y val="-0.1424969773399664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18D-44F5-B7EC-41474149AA0D}"/>
                </c:ext>
              </c:extLst>
            </c:dLbl>
            <c:dLbl>
              <c:idx val="10"/>
              <c:layout>
                <c:manualLayout>
                  <c:x val="-3.0770794859931408E-2"/>
                  <c:y val="-0.1163272066190974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18D-44F5-B7EC-41474149AA0D}"/>
                </c:ext>
              </c:extLst>
            </c:dLbl>
            <c:dLbl>
              <c:idx val="11"/>
              <c:layout>
                <c:manualLayout>
                  <c:x val="-3.8698497565321376E-3"/>
                  <c:y val="-9.99710999185543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18D-44F5-B7EC-41474149AA0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Sheet1!$K$4:$K$19</c:f>
              <c:multiLvlStrCache>
                <c:ptCount val="1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lvl>
                <c:lvl>
                  <c:pt idx="0">
                    <c:v>2023</c:v>
                  </c:pt>
                  <c:pt idx="12">
                    <c:v>2024</c:v>
                  </c:pt>
                </c:lvl>
              </c:multiLvlStrCache>
            </c:multiLvlStrRef>
          </c:cat>
          <c:val>
            <c:numRef>
              <c:f>Sheet1!$L$4:$L$19</c:f>
              <c:numCache>
                <c:formatCode>"₹"\ #,##0</c:formatCode>
                <c:ptCount val="13"/>
                <c:pt idx="0">
                  <c:v>10852998</c:v>
                </c:pt>
                <c:pt idx="1">
                  <c:v>9207677</c:v>
                </c:pt>
                <c:pt idx="2">
                  <c:v>11366948</c:v>
                </c:pt>
                <c:pt idx="3">
                  <c:v>10338523</c:v>
                </c:pt>
                <c:pt idx="4">
                  <c:v>10961428</c:v>
                </c:pt>
                <c:pt idx="5">
                  <c:v>12821507</c:v>
                </c:pt>
                <c:pt idx="6">
                  <c:v>12498292</c:v>
                </c:pt>
                <c:pt idx="7">
                  <c:v>11869673</c:v>
                </c:pt>
                <c:pt idx="8">
                  <c:v>12092127</c:v>
                </c:pt>
                <c:pt idx="9">
                  <c:v>12316736</c:v>
                </c:pt>
                <c:pt idx="10">
                  <c:v>8485466</c:v>
                </c:pt>
                <c:pt idx="11">
                  <c:v>13790234</c:v>
                </c:pt>
                <c:pt idx="12">
                  <c:v>225630</c:v>
                </c:pt>
              </c:numCache>
            </c:numRef>
          </c:val>
          <c:smooth val="0"/>
          <c:extLst>
            <c:ext xmlns:c16="http://schemas.microsoft.com/office/drawing/2014/chart" uri="{C3380CC4-5D6E-409C-BE32-E72D297353CC}">
              <c16:uniqueId val="{00000000-83B4-4033-A70F-B131ECAAE4A8}"/>
            </c:ext>
          </c:extLst>
        </c:ser>
        <c:dLbls>
          <c:showLegendKey val="0"/>
          <c:showVal val="0"/>
          <c:showCatName val="0"/>
          <c:showSerName val="0"/>
          <c:showPercent val="0"/>
          <c:showBubbleSize val="0"/>
        </c:dLbls>
        <c:marker val="1"/>
        <c:smooth val="0"/>
        <c:axId val="1167038639"/>
        <c:axId val="1167022319"/>
      </c:lineChart>
      <c:catAx>
        <c:axId val="116703863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Months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022319"/>
        <c:crosses val="autoZero"/>
        <c:auto val="1"/>
        <c:lblAlgn val="ctr"/>
        <c:lblOffset val="100"/>
        <c:noMultiLvlLbl val="0"/>
      </c:catAx>
      <c:valAx>
        <c:axId val="11670223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03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[M_Suresh_messy.xlsx]Sheet1!PivotTable4</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i="0" baseline="0">
                <a:solidFill>
                  <a:schemeClr val="tx1"/>
                </a:solidFill>
              </a:rPr>
              <a:t>Revenue by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9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Sheet1!$E$13</c:f>
              <c:strCache>
                <c:ptCount val="1"/>
                <c:pt idx="0">
                  <c:v>Total</c:v>
                </c:pt>
              </c:strCache>
            </c:strRef>
          </c:tx>
          <c:spPr>
            <a:solidFill>
              <a:schemeClr val="accent1"/>
            </a:solidFill>
            <a:ln>
              <a:solidFill>
                <a:srgbClr val="00B0F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9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Sheet1!$D$14:$D$19</c:f>
              <c:strCache>
                <c:ptCount val="5"/>
                <c:pt idx="0">
                  <c:v>Monitor</c:v>
                </c:pt>
                <c:pt idx="1">
                  <c:v>Tablet</c:v>
                </c:pt>
                <c:pt idx="2">
                  <c:v>Phone</c:v>
                </c:pt>
                <c:pt idx="3">
                  <c:v>Laptop</c:v>
                </c:pt>
                <c:pt idx="4">
                  <c:v>Headphones</c:v>
                </c:pt>
              </c:strCache>
            </c:strRef>
          </c:cat>
          <c:val>
            <c:numRef>
              <c:f>Sheet1!$E$14:$E$19</c:f>
              <c:numCache>
                <c:formatCode>"₹"\ #,##0</c:formatCode>
                <c:ptCount val="5"/>
                <c:pt idx="0">
                  <c:v>30100920</c:v>
                </c:pt>
                <c:pt idx="1">
                  <c:v>28679024</c:v>
                </c:pt>
                <c:pt idx="2">
                  <c:v>27119138</c:v>
                </c:pt>
                <c:pt idx="3">
                  <c:v>25977161</c:v>
                </c:pt>
                <c:pt idx="4">
                  <c:v>24950996</c:v>
                </c:pt>
              </c:numCache>
            </c:numRef>
          </c:val>
          <c:extLst>
            <c:ext xmlns:c16="http://schemas.microsoft.com/office/drawing/2014/chart" uri="{C3380CC4-5D6E-409C-BE32-E72D297353CC}">
              <c16:uniqueId val="{00000000-FE9E-49E2-9A21-096F04242F8C}"/>
            </c:ext>
          </c:extLst>
        </c:ser>
        <c:dLbls>
          <c:dLblPos val="inEnd"/>
          <c:showLegendKey val="0"/>
          <c:showVal val="1"/>
          <c:showCatName val="0"/>
          <c:showSerName val="0"/>
          <c:showPercent val="0"/>
          <c:showBubbleSize val="0"/>
        </c:dLbls>
        <c:gapWidth val="120"/>
        <c:axId val="108911136"/>
        <c:axId val="108907776"/>
      </c:barChart>
      <c:catAx>
        <c:axId val="10891113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i="0" baseline="0">
                    <a:solidFill>
                      <a:schemeClr val="tx1"/>
                    </a:solidFill>
                  </a:rPr>
                  <a:t>Product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108907776"/>
        <c:crosses val="autoZero"/>
        <c:auto val="1"/>
        <c:lblAlgn val="ctr"/>
        <c:lblOffset val="100"/>
        <c:noMultiLvlLbl val="0"/>
      </c:catAx>
      <c:valAx>
        <c:axId val="10890777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i="0" baseline="0">
                    <a:solidFill>
                      <a:schemeClr val="tx1"/>
                    </a:solidFill>
                  </a:rPr>
                  <a:t>Revenue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8911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[M_Suresh_messy.xlsx]Sheet1!PivotTable3</c:name>
    <c:fmtId val="1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baseline="0">
                <a:solidFill>
                  <a:schemeClr val="tx1"/>
                </a:solidFill>
              </a:rPr>
              <a:t>Revenue by Region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Sheet1!$A$13:$A$17</c:f>
              <c:strCache>
                <c:ptCount val="4"/>
                <c:pt idx="0">
                  <c:v>West</c:v>
                </c:pt>
                <c:pt idx="1">
                  <c:v>East</c:v>
                </c:pt>
                <c:pt idx="2">
                  <c:v>South</c:v>
                </c:pt>
                <c:pt idx="3">
                  <c:v>North</c:v>
                </c:pt>
              </c:strCache>
            </c:strRef>
          </c:cat>
          <c:val>
            <c:numRef>
              <c:f>Sheet1!$B$13:$B$17</c:f>
              <c:numCache>
                <c:formatCode>"₹"\ #,##0</c:formatCode>
                <c:ptCount val="4"/>
                <c:pt idx="0">
                  <c:v>37339185</c:v>
                </c:pt>
                <c:pt idx="1">
                  <c:v>33279524</c:v>
                </c:pt>
                <c:pt idx="2">
                  <c:v>33164701</c:v>
                </c:pt>
                <c:pt idx="3">
                  <c:v>33043829</c:v>
                </c:pt>
              </c:numCache>
            </c:numRef>
          </c:val>
          <c:extLst>
            <c:ext xmlns:c16="http://schemas.microsoft.com/office/drawing/2014/chart" uri="{C3380CC4-5D6E-409C-BE32-E72D297353CC}">
              <c16:uniqueId val="{00000000-75E6-472C-94C3-543D997CDDE5}"/>
            </c:ext>
          </c:extLst>
        </c:ser>
        <c:dLbls>
          <c:dLblPos val="inEnd"/>
          <c:showLegendKey val="0"/>
          <c:showVal val="1"/>
          <c:showCatName val="0"/>
          <c:showSerName val="0"/>
          <c:showPercent val="0"/>
          <c:showBubbleSize val="0"/>
        </c:dLbls>
        <c:gapWidth val="50"/>
        <c:overlap val="-27"/>
        <c:axId val="1167020879"/>
        <c:axId val="1167029519"/>
      </c:barChart>
      <c:catAx>
        <c:axId val="116702087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b="1" i="0" baseline="0">
                    <a:solidFill>
                      <a:schemeClr val="tx1"/>
                    </a:solidFill>
                  </a:rPr>
                  <a:t>Regions </a:t>
                </a:r>
                <a:endParaRPr lang="en-IN" b="1" i="0" baseline="0">
                  <a:solidFill>
                    <a:schemeClr val="tx1"/>
                  </a:solidFill>
                </a:endParaRP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029519"/>
        <c:crosses val="autoZero"/>
        <c:auto val="1"/>
        <c:lblAlgn val="ctr"/>
        <c:lblOffset val="100"/>
        <c:noMultiLvlLbl val="0"/>
      </c:catAx>
      <c:valAx>
        <c:axId val="116702951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IN" b="1">
                    <a:solidFill>
                      <a:schemeClr val="tx1"/>
                    </a:solidFill>
                  </a:rPr>
                  <a:t>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020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27565</xdr:colOff>
      <xdr:row>3</xdr:row>
      <xdr:rowOff>37994</xdr:rowOff>
    </xdr:from>
    <xdr:to>
      <xdr:col>1</xdr:col>
      <xdr:colOff>913081</xdr:colOff>
      <xdr:row>10</xdr:row>
      <xdr:rowOff>100846</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E4DDEE79-F0FE-BF63-BD61-3F974D0851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565" y="753812"/>
              <a:ext cx="1892954" cy="1436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38525</xdr:colOff>
      <xdr:row>2</xdr:row>
      <xdr:rowOff>169235</xdr:rowOff>
    </xdr:from>
    <xdr:to>
      <xdr:col>4</xdr:col>
      <xdr:colOff>1064178</xdr:colOff>
      <xdr:row>11</xdr:row>
      <xdr:rowOff>44941</xdr:rowOff>
    </xdr:to>
    <mc:AlternateContent xmlns:mc="http://schemas.openxmlformats.org/markup-compatibility/2006" xmlns:a14="http://schemas.microsoft.com/office/drawing/2010/main">
      <mc:Choice Requires="a14">
        <xdr:graphicFrame macro="">
          <xdr:nvGraphicFramePr>
            <xdr:cNvPr id="6" name="Product">
              <a:extLst>
                <a:ext uri="{FF2B5EF4-FFF2-40B4-BE49-F238E27FC236}">
                  <a16:creationId xmlns:a16="http://schemas.microsoft.com/office/drawing/2014/main" id="{CED3430D-ADFB-B883-F48C-D1A880A0871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220616" y="619508"/>
              <a:ext cx="1830332" cy="1699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274782</xdr:colOff>
      <xdr:row>1</xdr:row>
      <xdr:rowOff>253999</xdr:rowOff>
    </xdr:from>
    <xdr:to>
      <xdr:col>14</xdr:col>
      <xdr:colOff>445187</xdr:colOff>
      <xdr:row>14</xdr:row>
      <xdr:rowOff>134215</xdr:rowOff>
    </xdr:to>
    <mc:AlternateContent xmlns:mc="http://schemas.openxmlformats.org/markup-compatibility/2006" xmlns:a14="http://schemas.microsoft.com/office/drawing/2010/main">
      <mc:Choice Requires="a14">
        <xdr:graphicFrame macro="">
          <xdr:nvGraphicFramePr>
            <xdr:cNvPr id="2" name="Months (Date)">
              <a:extLst>
                <a:ext uri="{FF2B5EF4-FFF2-40B4-BE49-F238E27FC236}">
                  <a16:creationId xmlns:a16="http://schemas.microsoft.com/office/drawing/2014/main" id="{6A792148-3DA1-EA92-6DD3-AEF2FA91B8F9}"/>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0607964" y="438726"/>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323346</xdr:colOff>
      <xdr:row>34</xdr:row>
      <xdr:rowOff>135937</xdr:rowOff>
    </xdr:from>
    <xdr:to>
      <xdr:col>21</xdr:col>
      <xdr:colOff>147674</xdr:colOff>
      <xdr:row>52</xdr:row>
      <xdr:rowOff>132907</xdr:rowOff>
    </xdr:to>
    <xdr:graphicFrame macro="">
      <xdr:nvGraphicFramePr>
        <xdr:cNvPr id="2" name="Chart 1">
          <a:extLst>
            <a:ext uri="{FF2B5EF4-FFF2-40B4-BE49-F238E27FC236}">
              <a16:creationId xmlns:a16="http://schemas.microsoft.com/office/drawing/2014/main" id="{273D0065-9D3F-4A84-A69C-7E78395FB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408836</xdr:colOff>
      <xdr:row>13</xdr:row>
      <xdr:rowOff>156576</xdr:rowOff>
    </xdr:from>
    <xdr:to>
      <xdr:col>8</xdr:col>
      <xdr:colOff>95684</xdr:colOff>
      <xdr:row>29</xdr:row>
      <xdr:rowOff>88605</xdr:rowOff>
    </xdr:to>
    <xdr:graphicFrame macro="">
      <xdr:nvGraphicFramePr>
        <xdr:cNvPr id="3" name="Chart 2">
          <a:extLst>
            <a:ext uri="{FF2B5EF4-FFF2-40B4-BE49-F238E27FC236}">
              <a16:creationId xmlns:a16="http://schemas.microsoft.com/office/drawing/2014/main" id="{1962B55F-A728-44AD-984B-DA2134AC6C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143181</xdr:colOff>
      <xdr:row>13</xdr:row>
      <xdr:rowOff>173974</xdr:rowOff>
    </xdr:from>
    <xdr:to>
      <xdr:col>18</xdr:col>
      <xdr:colOff>443631</xdr:colOff>
      <xdr:row>29</xdr:row>
      <xdr:rowOff>59071</xdr:rowOff>
    </xdr:to>
    <xdr:graphicFrame macro="">
      <xdr:nvGraphicFramePr>
        <xdr:cNvPr id="4" name="Chart 3">
          <a:extLst>
            <a:ext uri="{FF2B5EF4-FFF2-40B4-BE49-F238E27FC236}">
              <a16:creationId xmlns:a16="http://schemas.microsoft.com/office/drawing/2014/main" id="{B689A215-5394-452C-8DAB-93BC94B6D4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603594</xdr:colOff>
      <xdr:row>4</xdr:row>
      <xdr:rowOff>8699</xdr:rowOff>
    </xdr:from>
    <xdr:to>
      <xdr:col>18</xdr:col>
      <xdr:colOff>334524</xdr:colOff>
      <xdr:row>11</xdr:row>
      <xdr:rowOff>120160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2F3EE8F3-ECDD-4FE5-B43C-AB171191D92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617056" y="725109"/>
              <a:ext cx="1538237" cy="1381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93915</xdr:colOff>
      <xdr:row>4</xdr:row>
      <xdr:rowOff>17397</xdr:rowOff>
    </xdr:from>
    <xdr:to>
      <xdr:col>15</xdr:col>
      <xdr:colOff>481372</xdr:colOff>
      <xdr:row>11</xdr:row>
      <xdr:rowOff>113082</xdr:rowOff>
    </xdr:to>
    <mc:AlternateContent xmlns:mc="http://schemas.openxmlformats.org/markup-compatibility/2006" xmlns:a14="http://schemas.microsoft.com/office/drawing/2010/main">
      <mc:Choice Requires="a14">
        <xdr:graphicFrame macro="">
          <xdr:nvGraphicFramePr>
            <xdr:cNvPr id="6" name="Product 1">
              <a:extLst>
                <a:ext uri="{FF2B5EF4-FFF2-40B4-BE49-F238E27FC236}">
                  <a16:creationId xmlns:a16="http://schemas.microsoft.com/office/drawing/2014/main" id="{0EBA2971-4245-4333-AE5A-385DF7B0E49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902505" y="733807"/>
              <a:ext cx="1592329" cy="1365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556711</xdr:colOff>
      <xdr:row>4</xdr:row>
      <xdr:rowOff>1</xdr:rowOff>
    </xdr:from>
    <xdr:to>
      <xdr:col>2</xdr:col>
      <xdr:colOff>1217806</xdr:colOff>
      <xdr:row>8</xdr:row>
      <xdr:rowOff>113082</xdr:rowOff>
    </xdr:to>
    <xdr:sp macro="" textlink="$Y$2">
      <xdr:nvSpPr>
        <xdr:cNvPr id="7" name="Rectangle 6">
          <a:extLst>
            <a:ext uri="{FF2B5EF4-FFF2-40B4-BE49-F238E27FC236}">
              <a16:creationId xmlns:a16="http://schemas.microsoft.com/office/drawing/2014/main" id="{DCB0771A-D66D-6628-DEBA-CBDFD82325E2}"/>
            </a:ext>
          </a:extLst>
        </xdr:cNvPr>
        <xdr:cNvSpPr/>
      </xdr:nvSpPr>
      <xdr:spPr>
        <a:xfrm>
          <a:off x="556711" y="730686"/>
          <a:ext cx="2035479" cy="861163"/>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i="0" u="none" strike="noStrike" baseline="0">
              <a:solidFill>
                <a:srgbClr val="000000"/>
              </a:solidFill>
              <a:latin typeface="Calibri"/>
              <a:ea typeface="Calibri"/>
              <a:cs typeface="Calibri"/>
            </a:rPr>
            <a:t>          </a:t>
          </a:r>
          <a:r>
            <a:rPr lang="en-US" sz="1200" b="0" i="0" u="none" strike="noStrike" baseline="0">
              <a:solidFill>
                <a:srgbClr val="000000"/>
              </a:solidFill>
              <a:latin typeface="Calibri"/>
              <a:ea typeface="Calibri"/>
              <a:cs typeface="Calibri"/>
            </a:rPr>
            <a:t>Total Sales</a:t>
          </a:r>
          <a:endParaRPr lang="en-US" sz="1400" b="1" i="0" u="none" strike="noStrike" baseline="0">
            <a:solidFill>
              <a:srgbClr val="000000"/>
            </a:solidFill>
            <a:latin typeface="Calibri"/>
            <a:ea typeface="Calibri"/>
            <a:cs typeface="Calibri"/>
          </a:endParaRPr>
        </a:p>
        <a:p>
          <a:pPr algn="l"/>
          <a:endParaRPr lang="en-US" sz="1400" b="1" i="0" u="none" strike="noStrike" baseline="0">
            <a:solidFill>
              <a:srgbClr val="000000"/>
            </a:solidFill>
            <a:latin typeface="Calibri"/>
            <a:ea typeface="Calibri"/>
            <a:cs typeface="Calibri"/>
          </a:endParaRPr>
        </a:p>
        <a:p>
          <a:pPr algn="l"/>
          <a:r>
            <a:rPr lang="en-US" sz="1400" b="1" i="0" u="none" strike="noStrike" baseline="0">
              <a:solidFill>
                <a:srgbClr val="000000"/>
              </a:solidFill>
              <a:latin typeface="Calibri"/>
              <a:ea typeface="Calibri"/>
              <a:cs typeface="Calibri"/>
            </a:rPr>
            <a:t>          </a:t>
          </a:r>
          <a:fld id="{69C82F40-979D-4899-9998-78F567F3199F}" type="TxLink">
            <a:rPr lang="en-US" sz="1400" b="1" i="0" u="none" strike="noStrike" baseline="0">
              <a:solidFill>
                <a:srgbClr val="000000"/>
              </a:solidFill>
              <a:latin typeface="Calibri"/>
              <a:ea typeface="Calibri"/>
              <a:cs typeface="Calibri"/>
            </a:rPr>
            <a:pPr algn="l"/>
            <a:t>₹ 13,68,27,239</a:t>
          </a:fld>
          <a:endParaRPr lang="en-IN" sz="1400" b="1" baseline="0"/>
        </a:p>
      </xdr:txBody>
    </xdr:sp>
    <xdr:clientData/>
  </xdr:twoCellAnchor>
  <xdr:twoCellAnchor>
    <xdr:from>
      <xdr:col>2</xdr:col>
      <xdr:colOff>1322193</xdr:colOff>
      <xdr:row>4</xdr:row>
      <xdr:rowOff>17397</xdr:rowOff>
    </xdr:from>
    <xdr:to>
      <xdr:col>6</xdr:col>
      <xdr:colOff>121782</xdr:colOff>
      <xdr:row>8</xdr:row>
      <xdr:rowOff>121781</xdr:rowOff>
    </xdr:to>
    <xdr:sp macro="" textlink="$Y$3">
      <xdr:nvSpPr>
        <xdr:cNvPr id="8" name="Rectangle 7">
          <a:extLst>
            <a:ext uri="{FF2B5EF4-FFF2-40B4-BE49-F238E27FC236}">
              <a16:creationId xmlns:a16="http://schemas.microsoft.com/office/drawing/2014/main" id="{26BB66AF-C4BB-42F7-B1CF-154B4C3B96DD}"/>
            </a:ext>
          </a:extLst>
        </xdr:cNvPr>
        <xdr:cNvSpPr/>
      </xdr:nvSpPr>
      <xdr:spPr>
        <a:xfrm>
          <a:off x="2696577" y="748082"/>
          <a:ext cx="2035479" cy="852466"/>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rgbClr val="000000"/>
              </a:solidFill>
              <a:latin typeface="Calibri"/>
              <a:ea typeface="Calibri"/>
              <a:cs typeface="Calibri"/>
            </a:rPr>
            <a:t>     Count of Sales</a:t>
          </a:r>
        </a:p>
        <a:p>
          <a:pPr algn="l"/>
          <a:endParaRPr lang="en-US" sz="1200" b="0" i="0" u="none" strike="noStrike">
            <a:solidFill>
              <a:srgbClr val="000000"/>
            </a:solidFill>
            <a:latin typeface="Calibri"/>
            <a:ea typeface="Calibri"/>
            <a:cs typeface="Calibri"/>
          </a:endParaRPr>
        </a:p>
        <a:p>
          <a:pPr algn="l"/>
          <a:r>
            <a:rPr lang="en-US" sz="1800" b="1" i="0" u="none" strike="noStrike">
              <a:solidFill>
                <a:srgbClr val="000000"/>
              </a:solidFill>
              <a:latin typeface="Calibri"/>
              <a:ea typeface="Calibri"/>
              <a:cs typeface="Calibri"/>
            </a:rPr>
            <a:t>     </a:t>
          </a:r>
          <a:fld id="{CE1553FF-EB6A-4F3C-8169-E19C7B9FB275}" type="TxLink">
            <a:rPr lang="en-US" sz="1800" b="1" i="0" u="none" strike="noStrike">
              <a:solidFill>
                <a:srgbClr val="000000"/>
              </a:solidFill>
              <a:latin typeface="Calibri"/>
              <a:ea typeface="Calibri"/>
              <a:cs typeface="Calibri"/>
            </a:rPr>
            <a:pPr algn="l"/>
            <a:t>1005</a:t>
          </a:fld>
          <a:endParaRPr lang="en-US" sz="1800" b="1" i="0" u="none" strike="noStrike">
            <a:solidFill>
              <a:srgbClr val="000000"/>
            </a:solidFill>
            <a:latin typeface="Calibri"/>
            <a:ea typeface="Calibri"/>
            <a:cs typeface="Calibri"/>
          </a:endParaRPr>
        </a:p>
      </xdr:txBody>
    </xdr:sp>
    <xdr:clientData/>
  </xdr:twoCellAnchor>
  <xdr:twoCellAnchor>
    <xdr:from>
      <xdr:col>9</xdr:col>
      <xdr:colOff>565412</xdr:colOff>
      <xdr:row>4</xdr:row>
      <xdr:rowOff>34795</xdr:rowOff>
    </xdr:from>
    <xdr:to>
      <xdr:col>12</xdr:col>
      <xdr:colOff>530617</xdr:colOff>
      <xdr:row>8</xdr:row>
      <xdr:rowOff>95685</xdr:rowOff>
    </xdr:to>
    <xdr:sp macro="" textlink="">
      <xdr:nvSpPr>
        <xdr:cNvPr id="10" name="Rectangle 9">
          <a:extLst>
            <a:ext uri="{FF2B5EF4-FFF2-40B4-BE49-F238E27FC236}">
              <a16:creationId xmlns:a16="http://schemas.microsoft.com/office/drawing/2014/main" id="{DAC21231-1EFE-4690-BC70-677B148C00F5}"/>
            </a:ext>
          </a:extLst>
        </xdr:cNvPr>
        <xdr:cNvSpPr/>
      </xdr:nvSpPr>
      <xdr:spPr>
        <a:xfrm>
          <a:off x="7002398" y="765480"/>
          <a:ext cx="1791918" cy="808972"/>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            Top</a:t>
          </a:r>
          <a:r>
            <a:rPr lang="en-IN" sz="1200" baseline="0">
              <a:solidFill>
                <a:schemeClr val="tx1"/>
              </a:solidFill>
            </a:rPr>
            <a:t> Product</a:t>
          </a:r>
        </a:p>
        <a:p>
          <a:pPr algn="l"/>
          <a:endParaRPr lang="en-IN" sz="1200" baseline="0">
            <a:solidFill>
              <a:schemeClr val="tx1"/>
            </a:solidFill>
          </a:endParaRPr>
        </a:p>
        <a:p>
          <a:pPr algn="l"/>
          <a:r>
            <a:rPr lang="en-IN" sz="1600" b="1" baseline="0">
              <a:solidFill>
                <a:schemeClr val="tx1"/>
              </a:solidFill>
            </a:rPr>
            <a:t>      MONITOR</a:t>
          </a:r>
          <a:endParaRPr lang="en-IN" sz="1600" b="1">
            <a:solidFill>
              <a:schemeClr val="tx1"/>
            </a:solidFill>
          </a:endParaRPr>
        </a:p>
      </xdr:txBody>
    </xdr:sp>
    <xdr:clientData/>
  </xdr:twoCellAnchor>
  <xdr:twoCellAnchor editAs="oneCell">
    <xdr:from>
      <xdr:col>18</xdr:col>
      <xdr:colOff>469727</xdr:colOff>
      <xdr:row>4</xdr:row>
      <xdr:rowOff>8697</xdr:rowOff>
    </xdr:from>
    <xdr:to>
      <xdr:col>21</xdr:col>
      <xdr:colOff>471814</xdr:colOff>
      <xdr:row>11</xdr:row>
      <xdr:rowOff>121780</xdr:rowOff>
    </xdr:to>
    <mc:AlternateContent xmlns:mc="http://schemas.openxmlformats.org/markup-compatibility/2006" xmlns:a14="http://schemas.microsoft.com/office/drawing/2010/main">
      <mc:Choice Requires="a14">
        <xdr:graphicFrame macro="">
          <xdr:nvGraphicFramePr>
            <xdr:cNvPr id="11" name="Months (Date) 1">
              <a:extLst>
                <a:ext uri="{FF2B5EF4-FFF2-40B4-BE49-F238E27FC236}">
                  <a16:creationId xmlns:a16="http://schemas.microsoft.com/office/drawing/2014/main" id="{CA9F12CA-BF8E-487B-BF09-0DCE1E221A4F}"/>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mlns="">
        <xdr:sp macro="" textlink="">
          <xdr:nvSpPr>
            <xdr:cNvPr id="0" name=""/>
            <xdr:cNvSpPr>
              <a:spLocks noTextEdit="1"/>
            </xdr:cNvSpPr>
          </xdr:nvSpPr>
          <xdr:spPr>
            <a:xfrm>
              <a:off x="12290496" y="725107"/>
              <a:ext cx="1809395" cy="13830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121781</xdr:colOff>
      <xdr:row>10</xdr:row>
      <xdr:rowOff>104384</xdr:rowOff>
    </xdr:from>
    <xdr:to>
      <xdr:col>9</xdr:col>
      <xdr:colOff>548014</xdr:colOff>
      <xdr:row>12</xdr:row>
      <xdr:rowOff>69590</xdr:rowOff>
    </xdr:to>
    <xdr:sp macro="" textlink="">
      <xdr:nvSpPr>
        <xdr:cNvPr id="16" name="Rectangle 15">
          <a:extLst>
            <a:ext uri="{FF2B5EF4-FFF2-40B4-BE49-F238E27FC236}">
              <a16:creationId xmlns:a16="http://schemas.microsoft.com/office/drawing/2014/main" id="{7C2DEF77-E3F4-0615-0929-6089E879B623}"/>
            </a:ext>
          </a:extLst>
        </xdr:cNvPr>
        <xdr:cNvSpPr/>
      </xdr:nvSpPr>
      <xdr:spPr>
        <a:xfrm>
          <a:off x="5340959" y="1948494"/>
          <a:ext cx="1644041" cy="33054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solidFill>
                <a:schemeClr val="tx1"/>
              </a:solidFill>
            </a:rPr>
            <a:t>Revenue Insights</a:t>
          </a:r>
        </a:p>
      </xdr:txBody>
    </xdr:sp>
    <xdr:clientData/>
  </xdr:twoCellAnchor>
  <xdr:twoCellAnchor>
    <xdr:from>
      <xdr:col>6</xdr:col>
      <xdr:colOff>313152</xdr:colOff>
      <xdr:row>4</xdr:row>
      <xdr:rowOff>17397</xdr:rowOff>
    </xdr:from>
    <xdr:to>
      <xdr:col>9</xdr:col>
      <xdr:colOff>226166</xdr:colOff>
      <xdr:row>8</xdr:row>
      <xdr:rowOff>130480</xdr:rowOff>
    </xdr:to>
    <xdr:sp macro="" textlink="">
      <xdr:nvSpPr>
        <xdr:cNvPr id="18" name="Rectangle 17">
          <a:extLst>
            <a:ext uri="{FF2B5EF4-FFF2-40B4-BE49-F238E27FC236}">
              <a16:creationId xmlns:a16="http://schemas.microsoft.com/office/drawing/2014/main" id="{7156DC2F-1385-CD7C-C6B3-3E607BC4C8EC}"/>
            </a:ext>
          </a:extLst>
        </xdr:cNvPr>
        <xdr:cNvSpPr/>
      </xdr:nvSpPr>
      <xdr:spPr>
        <a:xfrm>
          <a:off x="4923426" y="748082"/>
          <a:ext cx="1739726" cy="861165"/>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0">
              <a:solidFill>
                <a:schemeClr val="tx1"/>
              </a:solidFill>
            </a:rPr>
            <a:t>      </a:t>
          </a:r>
          <a:r>
            <a:rPr lang="en-IN" sz="1200" b="0">
              <a:solidFill>
                <a:schemeClr val="tx1"/>
              </a:solidFill>
            </a:rPr>
            <a:t>Top Region</a:t>
          </a:r>
        </a:p>
        <a:p>
          <a:pPr algn="l"/>
          <a:endParaRPr lang="en-IN" sz="1100" b="0">
            <a:solidFill>
              <a:schemeClr val="tx1"/>
            </a:solidFill>
          </a:endParaRPr>
        </a:p>
        <a:p>
          <a:pPr algn="l"/>
          <a:r>
            <a:rPr lang="en-IN" sz="1100" b="0">
              <a:solidFill>
                <a:schemeClr val="tx1"/>
              </a:solidFill>
            </a:rPr>
            <a:t>         </a:t>
          </a:r>
          <a:r>
            <a:rPr lang="en-IN" sz="1600" b="1">
              <a:solidFill>
                <a:schemeClr val="tx1"/>
              </a:solidFill>
            </a:rPr>
            <a:t>WEST</a:t>
          </a:r>
        </a:p>
      </xdr:txBody>
    </xdr:sp>
    <xdr:clientData/>
  </xdr:twoCellAnchor>
  <xdr:twoCellAnchor>
    <xdr:from>
      <xdr:col>22</xdr:col>
      <xdr:colOff>237895</xdr:colOff>
      <xdr:row>13</xdr:row>
      <xdr:rowOff>12256</xdr:rowOff>
    </xdr:from>
    <xdr:to>
      <xdr:col>35</xdr:col>
      <xdr:colOff>37826</xdr:colOff>
      <xdr:row>28</xdr:row>
      <xdr:rowOff>134169</xdr:rowOff>
    </xdr:to>
    <xdr:sp macro="" textlink="">
      <xdr:nvSpPr>
        <xdr:cNvPr id="13" name="Rectangle: Rounded Corners 12">
          <a:extLst>
            <a:ext uri="{FF2B5EF4-FFF2-40B4-BE49-F238E27FC236}">
              <a16:creationId xmlns:a16="http://schemas.microsoft.com/office/drawing/2014/main" id="{69F32C65-9994-0FAC-2DD5-EC5BC557301E}"/>
            </a:ext>
          </a:extLst>
        </xdr:cNvPr>
        <xdr:cNvSpPr/>
      </xdr:nvSpPr>
      <xdr:spPr>
        <a:xfrm>
          <a:off x="14535016" y="2398317"/>
          <a:ext cx="8083795" cy="2863958"/>
        </a:xfrm>
        <a:prstGeom prst="round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t>                                                                                           </a:t>
          </a:r>
          <a:r>
            <a:rPr lang="en-IN" sz="2400" u="sng"/>
            <a:t>Insights</a:t>
          </a:r>
        </a:p>
        <a:p>
          <a:pPr algn="l"/>
          <a:r>
            <a:rPr lang="en-IN" sz="2000" u="none"/>
            <a:t>:-</a:t>
          </a:r>
          <a:r>
            <a:rPr lang="en-IN" sz="2000" u="none" baseline="0"/>
            <a:t> I compared all four regions ,west was the </a:t>
          </a:r>
          <a:r>
            <a:rPr lang="en-US" sz="2000" u="none" baseline="0"/>
            <a:t>highest reveneue of 30%.</a:t>
          </a:r>
        </a:p>
        <a:p>
          <a:pPr algn="l"/>
          <a:r>
            <a:rPr lang="en-US" sz="2000" u="none" baseline="0"/>
            <a:t>:- In all Products Monitor was high revenue generated to comapare other                            products.</a:t>
          </a:r>
        </a:p>
        <a:p>
          <a:pPr algn="l"/>
          <a:r>
            <a:rPr lang="en-US" sz="2000" u="none" baseline="0"/>
            <a:t>:- I analysis month wise Revenue trend December was highest revenue generated on 2023</a:t>
          </a:r>
        </a:p>
        <a:p>
          <a:pPr algn="l"/>
          <a:r>
            <a:rPr lang="en-US" sz="2000" u="none" baseline="0"/>
            <a:t>:- Compare to 2023 jan sales and 2024 jan sales was less.</a:t>
          </a:r>
          <a:endParaRPr lang="en-IN" sz="2000" u="none"/>
        </a:p>
      </xdr:txBody>
    </xdr:sp>
    <xdr:clientData/>
  </xdr:twoCellAnchor>
  <xdr:twoCellAnchor>
    <xdr:from>
      <xdr:col>22</xdr:col>
      <xdr:colOff>229329</xdr:colOff>
      <xdr:row>30</xdr:row>
      <xdr:rowOff>161715</xdr:rowOff>
    </xdr:from>
    <xdr:to>
      <xdr:col>33</xdr:col>
      <xdr:colOff>403301</xdr:colOff>
      <xdr:row>47</xdr:row>
      <xdr:rowOff>170414</xdr:rowOff>
    </xdr:to>
    <xdr:sp macro="" textlink="">
      <xdr:nvSpPr>
        <xdr:cNvPr id="14" name="Rectangle: Rounded Corners 13">
          <a:extLst>
            <a:ext uri="{FF2B5EF4-FFF2-40B4-BE49-F238E27FC236}">
              <a16:creationId xmlns:a16="http://schemas.microsoft.com/office/drawing/2014/main" id="{1B7A990A-E5F8-FC61-9250-15E7BA74F0B0}"/>
            </a:ext>
          </a:extLst>
        </xdr:cNvPr>
        <xdr:cNvSpPr/>
      </xdr:nvSpPr>
      <xdr:spPr>
        <a:xfrm>
          <a:off x="14526450" y="5655427"/>
          <a:ext cx="7245563" cy="3202942"/>
        </a:xfrm>
        <a:prstGeom prst="roundRect">
          <a:avLst/>
        </a:prstGeom>
        <a:no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IN" sz="1100"/>
            <a:t>                                                                                   </a:t>
          </a:r>
          <a:r>
            <a:rPr lang="en-US" sz="2400" b="1" u="sng" baseline="0"/>
            <a:t>Recommendation</a:t>
          </a:r>
          <a:r>
            <a:rPr lang="en-US" sz="1100" baseline="0"/>
            <a:t> </a:t>
          </a:r>
        </a:p>
        <a:p>
          <a:pPr algn="l"/>
          <a:r>
            <a:rPr lang="en-US" sz="1800" baseline="0"/>
            <a:t>:- We have  high sale revenue in west region .To invest more butget  in west  region .</a:t>
          </a:r>
        </a:p>
        <a:p>
          <a:pPr algn="l"/>
          <a:r>
            <a:rPr lang="en-US" sz="1800" baseline="0"/>
            <a:t>:- </a:t>
          </a:r>
          <a:r>
            <a:rPr lang="en-IN" sz="1800" baseline="0"/>
            <a:t>All the products have consistance  revenue </a:t>
          </a:r>
        </a:p>
        <a:p>
          <a:pPr algn="l"/>
          <a:r>
            <a:rPr lang="en-IN" sz="1800" baseline="0"/>
            <a:t>:- Every months have all products  performing consistantly sales. </a:t>
          </a:r>
          <a:endParaRPr lang="en-IN" sz="18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37.608846990741" createdVersion="8" refreshedVersion="8" minRefreshableVersion="3" recordCount="1005" xr:uid="{9023EE1D-C432-48FF-A5D3-A380A1A776AD}">
  <cacheSource type="worksheet">
    <worksheetSource name="Table1"/>
  </cacheSource>
  <cacheFields count="12">
    <cacheField name="OrderID" numFmtId="0">
      <sharedItems/>
    </cacheField>
    <cacheField name="Date" numFmtId="14">
      <sharedItems containsSemiMixedTypes="0" containsNonDate="0" containsDate="1" containsString="0" minDate="2023-01-01T00:00:00" maxDate="2024-01-02T00:00:00" count="337">
        <d v="2023-05-02T00:00:00"/>
        <d v="2023-08-29T00:00:00"/>
        <d v="2023-07-18T00:00:00"/>
        <d v="2023-05-13T00:00:00"/>
        <d v="2023-06-22T00:00:00"/>
        <d v="2023-12-02T00:00:00"/>
        <d v="2023-02-25T00:00:00"/>
        <d v="2023-06-23T00:00:00"/>
        <d v="2023-02-22T00:00:00"/>
        <d v="2023-06-01T00:00:00"/>
        <d v="2023-12-14T00:00:00"/>
        <d v="2023-08-22T00:00:00"/>
        <d v="2023-07-13T00:00:00"/>
        <d v="2023-08-11T00:00:00"/>
        <d v="2023-03-28T00:00:00"/>
        <d v="2023-06-11T00:00:00"/>
        <d v="2023-09-23T00:00:00"/>
        <d v="2023-01-03T00:00:00"/>
        <d v="2023-12-22T00:00:00"/>
        <d v="2023-02-01T00:00:00"/>
        <d v="2023-01-04T00:00:00"/>
        <d v="2023-02-14T00:00:00"/>
        <d v="2023-07-04T00:00:00"/>
        <d v="2023-10-18T00:00:00"/>
        <d v="2023-01-28T00:00:00"/>
        <d v="2023-05-15T00:00:00"/>
        <d v="2023-01-13T00:00:00"/>
        <d v="2023-10-16T00:00:00"/>
        <d v="2023-04-03T00:00:00"/>
        <d v="2023-03-11T00:00:00"/>
        <d v="2023-10-19T00:00:00"/>
        <d v="2023-09-22T00:00:00"/>
        <d v="2023-03-10T00:00:00"/>
        <d v="2023-03-09T00:00:00"/>
        <d v="2023-07-24T00:00:00"/>
        <d v="2023-05-11T00:00:00"/>
        <d v="2023-01-24T00:00:00"/>
        <d v="2023-08-20T00:00:00"/>
        <d v="2023-10-27T00:00:00"/>
        <d v="2023-09-28T00:00:00"/>
        <d v="2023-11-27T00:00:00"/>
        <d v="2023-02-24T00:00:00"/>
        <d v="2023-09-16T00:00:00"/>
        <d v="2023-02-27T00:00:00"/>
        <d v="2023-07-20T00:00:00"/>
        <d v="2023-07-16T00:00:00"/>
        <d v="2023-09-14T00:00:00"/>
        <d v="2023-01-14T00:00:00"/>
        <d v="2023-06-26T00:00:00"/>
        <d v="2023-04-13T00:00:00"/>
        <d v="2023-08-26T00:00:00"/>
        <d v="2023-08-18T00:00:00"/>
        <d v="2023-01-21T00:00:00"/>
        <d v="2023-06-27T00:00:00"/>
        <d v="2023-05-31T00:00:00"/>
        <d v="2023-07-17T00:00:00"/>
        <d v="2023-12-21T00:00:00"/>
        <d v="2023-08-19T00:00:00"/>
        <d v="2023-09-06T00:00:00"/>
        <d v="2023-01-06T00:00:00"/>
        <d v="2023-02-21T00:00:00"/>
        <d v="2023-07-14T00:00:00"/>
        <d v="2023-12-18T00:00:00"/>
        <d v="2023-08-09T00:00:00"/>
        <d v="2023-11-10T00:00:00"/>
        <d v="2023-05-28T00:00:00"/>
        <d v="2023-11-21T00:00:00"/>
        <d v="2023-11-05T00:00:00"/>
        <d v="2023-01-16T00:00:00"/>
        <d v="2023-12-07T00:00:00"/>
        <d v="2023-08-10T00:00:00"/>
        <d v="2023-06-12T00:00:00"/>
        <d v="2023-07-23T00:00:00"/>
        <d v="2023-02-08T00:00:00"/>
        <d v="2023-03-05T00:00:00"/>
        <d v="2023-01-25T00:00:00"/>
        <d v="2023-02-28T00:00:00"/>
        <d v="2023-09-02T00:00:00"/>
        <d v="2023-09-29T00:00:00"/>
        <d v="2023-01-30T00:00:00"/>
        <d v="2023-12-17T00:00:00"/>
        <d v="2023-06-15T00:00:00"/>
        <d v="2023-06-24T00:00:00"/>
        <d v="2023-08-05T00:00:00"/>
        <d v="2023-07-15T00:00:00"/>
        <d v="2023-07-19T00:00:00"/>
        <d v="2023-07-06T00:00:00"/>
        <d v="2023-03-13T00:00:00"/>
        <d v="2023-09-08T00:00:00"/>
        <d v="2023-04-12T00:00:00"/>
        <d v="2023-05-01T00:00:00"/>
        <d v="2023-09-30T00:00:00"/>
        <d v="2023-11-19T00:00:00"/>
        <d v="2023-07-07T00:00:00"/>
        <d v="2023-04-17T00:00:00"/>
        <d v="2023-01-29T00:00:00"/>
        <d v="2023-04-24T00:00:00"/>
        <d v="2023-03-15T00:00:00"/>
        <d v="2023-08-17T00:00:00"/>
        <d v="2023-07-09T00:00:00"/>
        <d v="2023-06-13T00:00:00"/>
        <d v="2023-10-13T00:00:00"/>
        <d v="2023-02-26T00:00:00"/>
        <d v="2023-08-14T00:00:00"/>
        <d v="2023-01-17T00:00:00"/>
        <d v="2023-11-18T00:00:00"/>
        <d v="2023-12-24T00:00:00"/>
        <d v="2023-12-16T00:00:00"/>
        <d v="2023-04-19T00:00:00"/>
        <d v="2023-03-22T00:00:00"/>
        <d v="2023-04-18T00:00:00"/>
        <d v="2023-10-25T00:00:00"/>
        <d v="2023-09-09T00:00:00"/>
        <d v="2023-04-09T00:00:00"/>
        <d v="2023-11-08T00:00:00"/>
        <d v="2023-04-16T00:00:00"/>
        <d v="2023-05-03T00:00:00"/>
        <d v="2023-02-23T00:00:00"/>
        <d v="2023-03-12T00:00:00"/>
        <d v="2023-10-01T00:00:00"/>
        <d v="2023-05-29T00:00:00"/>
        <d v="2023-05-16T00:00:00"/>
        <d v="2023-06-21T00:00:00"/>
        <d v="2023-03-29T00:00:00"/>
        <d v="2023-01-08T00:00:00"/>
        <d v="2023-12-13T00:00:00"/>
        <d v="2023-01-15T00:00:00"/>
        <d v="2023-08-16T00:00:00"/>
        <d v="2023-10-28T00:00:00"/>
        <d v="2023-05-06T00:00:00"/>
        <d v="2023-11-29T00:00:00"/>
        <d v="2023-06-02T00:00:00"/>
        <d v="2023-10-15T00:00:00"/>
        <d v="2023-02-04T00:00:00"/>
        <d v="2023-02-18T00:00:00"/>
        <d v="2023-08-07T00:00:00"/>
        <d v="2023-08-15T00:00:00"/>
        <d v="2023-05-12T00:00:00"/>
        <d v="2023-04-20T00:00:00"/>
        <d v="2023-03-02T00:00:00"/>
        <d v="2023-06-09T00:00:00"/>
        <d v="2023-11-12T00:00:00"/>
        <d v="2023-12-11T00:00:00"/>
        <d v="2023-08-13T00:00:00"/>
        <d v="2023-04-26T00:00:00"/>
        <d v="2023-12-30T00:00:00"/>
        <d v="2023-12-19T00:00:00"/>
        <d v="2023-09-24T00:00:00"/>
        <d v="2023-01-19T00:00:00"/>
        <d v="2023-07-03T00:00:00"/>
        <d v="2023-03-08T00:00:00"/>
        <d v="2023-02-07T00:00:00"/>
        <d v="2023-12-26T00:00:00"/>
        <d v="2023-05-24T00:00:00"/>
        <d v="2023-02-20T00:00:00"/>
        <d v="2023-05-04T00:00:00"/>
        <d v="2023-06-25T00:00:00"/>
        <d v="2023-09-21T00:00:00"/>
        <d v="2023-11-22T00:00:00"/>
        <d v="2023-06-30T00:00:00"/>
        <d v="2023-01-01T00:00:00"/>
        <d v="2023-04-14T00:00:00"/>
        <d v="2023-12-10T00:00:00"/>
        <d v="2023-05-20T00:00:00"/>
        <d v="2023-06-14T00:00:00"/>
        <d v="2023-06-29T00:00:00"/>
        <d v="2023-11-17T00:00:00"/>
        <d v="2023-07-11T00:00:00"/>
        <d v="2023-03-16T00:00:00"/>
        <d v="2023-12-27T00:00:00"/>
        <d v="2023-07-10T00:00:00"/>
        <d v="2023-08-02T00:00:00"/>
        <d v="2023-11-11T00:00:00"/>
        <d v="2023-02-11T00:00:00"/>
        <d v="2023-04-01T00:00:00"/>
        <d v="2023-09-27T00:00:00"/>
        <d v="2023-03-31T00:00:00"/>
        <d v="2023-07-01T00:00:00"/>
        <d v="2023-08-30T00:00:00"/>
        <d v="2023-05-23T00:00:00"/>
        <d v="2023-01-20T00:00:00"/>
        <d v="2023-12-29T00:00:00"/>
        <d v="2023-10-03T00:00:00"/>
        <d v="2023-05-25T00:00:00"/>
        <d v="2023-12-20T00:00:00"/>
        <d v="2023-07-27T00:00:00"/>
        <d v="2023-12-12T00:00:00"/>
        <d v="2023-07-08T00:00:00"/>
        <d v="2023-07-30T00:00:00"/>
        <d v="2023-02-02T00:00:00"/>
        <d v="2023-09-20T00:00:00"/>
        <d v="2023-02-06T00:00:00"/>
        <d v="2023-04-06T00:00:00"/>
        <d v="2023-07-02T00:00:00"/>
        <d v="2023-05-19T00:00:00"/>
        <d v="2023-12-05T00:00:00"/>
        <d v="2023-06-19T00:00:00"/>
        <d v="2023-04-15T00:00:00"/>
        <d v="2023-08-25T00:00:00"/>
        <d v="2023-01-27T00:00:00"/>
        <d v="2023-03-06T00:00:00"/>
        <d v="2023-04-29T00:00:00"/>
        <d v="2023-10-11T00:00:00"/>
        <d v="2023-05-21T00:00:00"/>
        <d v="2023-12-23T00:00:00"/>
        <d v="2023-06-06T00:00:00"/>
        <d v="2023-02-10T00:00:00"/>
        <d v="2023-04-10T00:00:00"/>
        <d v="2023-12-15T00:00:00"/>
        <d v="2023-09-05T00:00:00"/>
        <d v="2023-07-29T00:00:00"/>
        <d v="2023-04-21T00:00:00"/>
        <d v="2023-09-01T00:00:00"/>
        <d v="2023-10-26T00:00:00"/>
        <d v="2023-10-02T00:00:00"/>
        <d v="2023-05-08T00:00:00"/>
        <d v="2023-06-20T00:00:00"/>
        <d v="2023-07-31T00:00:00"/>
        <d v="2023-07-22T00:00:00"/>
        <d v="2023-11-28T00:00:00"/>
        <d v="2023-03-26T00:00:00"/>
        <d v="2023-10-23T00:00:00"/>
        <d v="2023-04-28T00:00:00"/>
        <d v="2023-05-26T00:00:00"/>
        <d v="2023-06-03T00:00:00"/>
        <d v="2023-04-25T00:00:00"/>
        <d v="2023-12-06T00:00:00"/>
        <d v="2023-01-26T00:00:00"/>
        <d v="2023-09-12T00:00:00"/>
        <d v="2023-01-11T00:00:00"/>
        <d v="2023-08-12T00:00:00"/>
        <d v="2023-11-25T00:00:00"/>
        <d v="2023-10-21T00:00:00"/>
        <d v="2023-08-28T00:00:00"/>
        <d v="2023-10-08T00:00:00"/>
        <d v="2023-03-19T00:00:00"/>
        <d v="2023-07-28T00:00:00"/>
        <d v="2023-04-23T00:00:00"/>
        <d v="2023-03-23T00:00:00"/>
        <d v="2023-02-17T00:00:00"/>
        <d v="2023-03-07T00:00:00"/>
        <d v="2023-11-30T00:00:00"/>
        <d v="2023-09-07T00:00:00"/>
        <d v="2023-09-19T00:00:00"/>
        <d v="2023-01-22T00:00:00"/>
        <d v="2023-04-22T00:00:00"/>
        <d v="2023-01-10T00:00:00"/>
        <d v="2023-03-01T00:00:00"/>
        <d v="2023-06-17T00:00:00"/>
        <d v="2023-12-01T00:00:00"/>
        <d v="2023-06-28T00:00:00"/>
        <d v="2023-02-13T00:00:00"/>
        <d v="2023-02-15T00:00:00"/>
        <d v="2023-01-02T00:00:00"/>
        <d v="2023-09-10T00:00:00"/>
        <d v="2023-10-04T00:00:00"/>
        <d v="2023-12-28T00:00:00"/>
        <d v="2023-05-22T00:00:00"/>
        <d v="2023-05-05T00:00:00"/>
        <d v="2023-10-30T00:00:00"/>
        <d v="2023-10-12T00:00:00"/>
        <d v="2023-07-26T00:00:00"/>
        <d v="2023-03-30T00:00:00"/>
        <d v="2023-06-18T00:00:00"/>
        <d v="2023-10-24T00:00:00"/>
        <d v="2023-06-07T00:00:00"/>
        <d v="2023-08-06T00:00:00"/>
        <d v="2023-08-27T00:00:00"/>
        <d v="2023-10-17T00:00:00"/>
        <d v="2023-11-20T00:00:00"/>
        <d v="2023-07-25T00:00:00"/>
        <d v="2023-07-12T00:00:00"/>
        <d v="2023-12-04T00:00:00"/>
        <d v="2023-11-04T00:00:00"/>
        <d v="2023-07-21T00:00:00"/>
        <d v="2023-11-02T00:00:00"/>
        <d v="2023-08-24T00:00:00"/>
        <d v="2023-08-01T00:00:00"/>
        <d v="2023-03-20T00:00:00"/>
        <d v="2023-09-18T00:00:00"/>
        <d v="2023-10-31T00:00:00"/>
        <d v="2023-11-15T00:00:00"/>
        <d v="2023-07-05T00:00:00"/>
        <d v="2023-11-07T00:00:00"/>
        <d v="2023-05-30T00:00:00"/>
        <d v="2023-03-24T00:00:00"/>
        <d v="2023-12-31T00:00:00"/>
        <d v="2023-03-25T00:00:00"/>
        <d v="2023-06-05T00:00:00"/>
        <d v="2023-06-04T00:00:00"/>
        <d v="2023-02-03T00:00:00"/>
        <d v="2023-05-09T00:00:00"/>
        <d v="2023-12-08T00:00:00"/>
        <d v="2023-01-31T00:00:00"/>
        <d v="2023-09-13T00:00:00"/>
        <d v="2023-11-24T00:00:00"/>
        <d v="2023-04-07T00:00:00"/>
        <d v="2023-11-14T00:00:00"/>
        <d v="2023-02-16T00:00:00"/>
        <d v="2023-09-26T00:00:00"/>
        <d v="2023-04-04T00:00:00"/>
        <d v="2023-11-13T00:00:00"/>
        <d v="2023-09-04T00:00:00"/>
        <d v="2023-12-25T00:00:00"/>
        <d v="2023-05-14T00:00:00"/>
        <d v="2023-09-17T00:00:00"/>
        <d v="2023-04-05T00:00:00"/>
        <d v="2023-04-11T00:00:00"/>
        <d v="2023-05-18T00:00:00"/>
        <d v="2023-04-02T00:00:00"/>
        <d v="2023-10-05T00:00:00"/>
        <d v="2023-03-21T00:00:00"/>
        <d v="2023-10-22T00:00:00"/>
        <d v="2024-01-01T00:00:00"/>
        <d v="2023-03-03T00:00:00"/>
        <d v="2023-09-25T00:00:00"/>
        <d v="2023-01-12T00:00:00"/>
        <d v="2023-11-06T00:00:00"/>
        <d v="2023-10-09T00:00:00"/>
        <d v="2023-02-19T00:00:00"/>
        <d v="2023-12-09T00:00:00"/>
        <d v="2023-03-14T00:00:00"/>
        <d v="2023-09-11T00:00:00"/>
        <d v="2023-03-04T00:00:00"/>
        <d v="2023-09-15T00:00:00"/>
        <d v="2023-05-07T00:00:00"/>
        <d v="2023-12-03T00:00:00"/>
        <d v="2023-04-30T00:00:00"/>
        <d v="2023-10-07T00:00:00"/>
        <d v="2023-08-21T00:00:00"/>
        <d v="2023-06-10T00:00:00"/>
        <d v="2023-09-03T00:00:00"/>
        <d v="2023-01-05T00:00:00"/>
        <d v="2023-01-18T00:00:00"/>
        <d v="2023-10-14T00:00:00"/>
        <d v="2023-08-08T00:00:00"/>
        <d v="2023-05-17T00:00:00"/>
      </sharedItems>
      <fieldGroup par="11"/>
    </cacheField>
    <cacheField name="Region" numFmtId="0">
      <sharedItems count="4">
        <s v="South"/>
        <s v="West"/>
        <s v="East"/>
        <s v="North"/>
      </sharedItems>
    </cacheField>
    <cacheField name="Product" numFmtId="0">
      <sharedItems count="5">
        <s v="Monitor"/>
        <s v="Headphones"/>
        <s v="Phone"/>
        <s v="Laptop"/>
        <s v="Tablet"/>
      </sharedItems>
    </cacheField>
    <cacheField name="Sales" numFmtId="0">
      <sharedItems containsSemiMixedTypes="0" containsString="0" containsNumber="1" containsInteger="1" minValue="64" maxValue="49905"/>
    </cacheField>
    <cacheField name="Quantity" numFmtId="0">
      <sharedItems containsSemiMixedTypes="0" containsString="0" containsNumber="1" containsInteger="1" minValue="1" maxValue="10"/>
    </cacheField>
    <cacheField name="pp" numFmtId="0">
      <sharedItems/>
    </cacheField>
    <cacheField name="oo" numFmtId="0">
      <sharedItems/>
    </cacheField>
    <cacheField name="Revenue" numFmtId="0">
      <sharedItems containsSemiMixedTypes="0" containsString="0" containsNumber="1" containsInteger="1" minValue="256" maxValue="496220"/>
    </cacheField>
    <cacheField name="Months (Date)" numFmtId="0" databaseField="0">
      <fieldGroup base="1">
        <rangePr groupBy="months" startDate="2023-01-01T00:00:00" endDate="2024-01-02T00:00:00"/>
        <groupItems count="14">
          <s v="&lt;01-01-2023"/>
          <s v="Jan"/>
          <s v="Feb"/>
          <s v="Mar"/>
          <s v="Apr"/>
          <s v="May"/>
          <s v="Jun"/>
          <s v="Jul"/>
          <s v="Aug"/>
          <s v="Sep"/>
          <s v="Oct"/>
          <s v="Nov"/>
          <s v="Dec"/>
          <s v="&gt;02-01-2024"/>
        </groupItems>
      </fieldGroup>
    </cacheField>
    <cacheField name="Quarters (Date)" numFmtId="0" databaseField="0">
      <fieldGroup base="1">
        <rangePr groupBy="quarters" startDate="2023-01-01T00:00:00" endDate="2024-01-02T00:00:00"/>
        <groupItems count="6">
          <s v="&lt;01-01-2023"/>
          <s v="Qtr1"/>
          <s v="Qtr2"/>
          <s v="Qtr3"/>
          <s v="Qtr4"/>
          <s v="&gt;02-01-2024"/>
        </groupItems>
      </fieldGroup>
    </cacheField>
    <cacheField name="Years (Date)" numFmtId="0" databaseField="0">
      <fieldGroup base="1">
        <rangePr groupBy="years" startDate="2023-01-01T00:00:00" endDate="2024-01-02T00:00:00"/>
        <groupItems count="4">
          <s v="&lt;01-01-2023"/>
          <s v="2023"/>
          <s v="2024"/>
          <s v="&gt;02-01-2024"/>
        </groupItems>
      </fieldGroup>
    </cacheField>
  </cacheFields>
  <extLst>
    <ext xmlns:x14="http://schemas.microsoft.com/office/spreadsheetml/2009/9/main" uri="{725AE2AE-9491-48be-B2B4-4EB974FC3084}">
      <x14:pivotCacheDefinition pivotCacheId="16791600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5">
  <r>
    <s v="ORD30"/>
    <x v="0"/>
    <x v="0"/>
    <x v="0"/>
    <n v="33839"/>
    <n v="1"/>
    <s v="Monitor"/>
    <s v="South"/>
    <n v="33839"/>
  </r>
  <r>
    <s v="ORD31"/>
    <x v="1"/>
    <x v="0"/>
    <x v="1"/>
    <n v="11997"/>
    <n v="3"/>
    <s v="Headphones"/>
    <s v="South"/>
    <n v="35991"/>
  </r>
  <r>
    <s v="ORD33"/>
    <x v="2"/>
    <x v="1"/>
    <x v="1"/>
    <n v="41801"/>
    <n v="3"/>
    <s v="Headphones"/>
    <s v="West"/>
    <n v="125403"/>
  </r>
  <r>
    <s v="ORD34"/>
    <x v="3"/>
    <x v="2"/>
    <x v="0"/>
    <n v="39042"/>
    <n v="7"/>
    <s v="Monitor"/>
    <s v="East"/>
    <n v="273294"/>
  </r>
  <r>
    <s v="ORD35"/>
    <x v="4"/>
    <x v="2"/>
    <x v="2"/>
    <n v="39694"/>
    <n v="10"/>
    <s v="Phone"/>
    <s v="East"/>
    <n v="396940"/>
  </r>
  <r>
    <s v="ORD36"/>
    <x v="5"/>
    <x v="2"/>
    <x v="3"/>
    <n v="8836"/>
    <n v="8"/>
    <s v="Laptop"/>
    <s v="East"/>
    <n v="70688"/>
  </r>
  <r>
    <s v="ORD39"/>
    <x v="6"/>
    <x v="3"/>
    <x v="1"/>
    <n v="34306"/>
    <n v="1"/>
    <s v="Headphones"/>
    <s v="North"/>
    <n v="34306"/>
  </r>
  <r>
    <s v="ORD310"/>
    <x v="7"/>
    <x v="0"/>
    <x v="1"/>
    <n v="15567"/>
    <n v="10"/>
    <s v="Headphones"/>
    <s v="South"/>
    <n v="155670"/>
  </r>
  <r>
    <s v="ORD311"/>
    <x v="8"/>
    <x v="2"/>
    <x v="2"/>
    <n v="35640"/>
    <n v="5"/>
    <s v="Phone"/>
    <s v="East"/>
    <n v="178200"/>
  </r>
  <r>
    <s v="ORD312"/>
    <x v="9"/>
    <x v="2"/>
    <x v="1"/>
    <n v="46668"/>
    <n v="6"/>
    <s v="Headphones"/>
    <s v="East"/>
    <n v="280008"/>
  </r>
  <r>
    <s v="ORD313"/>
    <x v="10"/>
    <x v="2"/>
    <x v="3"/>
    <n v="18106"/>
    <n v="6"/>
    <s v="Laptop"/>
    <s v="East"/>
    <n v="108636"/>
  </r>
  <r>
    <s v="ORD314"/>
    <x v="11"/>
    <x v="2"/>
    <x v="4"/>
    <n v="14571"/>
    <n v="10"/>
    <s v="Tablet"/>
    <s v="East"/>
    <n v="145710"/>
  </r>
  <r>
    <s v="ORD315"/>
    <x v="12"/>
    <x v="0"/>
    <x v="0"/>
    <n v="1872"/>
    <n v="6"/>
    <s v="Monitor"/>
    <s v="South"/>
    <n v="11232"/>
  </r>
  <r>
    <s v="ORD316"/>
    <x v="13"/>
    <x v="3"/>
    <x v="0"/>
    <n v="37568"/>
    <n v="4"/>
    <s v="Monitor"/>
    <s v="North"/>
    <n v="150272"/>
  </r>
  <r>
    <s v="ORD317"/>
    <x v="14"/>
    <x v="0"/>
    <x v="1"/>
    <n v="239"/>
    <n v="9"/>
    <s v="Headphones"/>
    <s v="South"/>
    <n v="2151"/>
  </r>
  <r>
    <s v="ORD318"/>
    <x v="15"/>
    <x v="0"/>
    <x v="4"/>
    <n v="47872"/>
    <n v="3"/>
    <s v="Tablet"/>
    <s v="South"/>
    <n v="143616"/>
  </r>
  <r>
    <s v="ORD319"/>
    <x v="16"/>
    <x v="1"/>
    <x v="1"/>
    <n v="47026"/>
    <n v="7"/>
    <s v="Headphones"/>
    <s v="West"/>
    <n v="329182"/>
  </r>
  <r>
    <s v="ORD320"/>
    <x v="17"/>
    <x v="1"/>
    <x v="2"/>
    <n v="26283"/>
    <n v="9"/>
    <s v="Phone"/>
    <s v="West"/>
    <n v="236547"/>
  </r>
  <r>
    <s v="ORD322"/>
    <x v="18"/>
    <x v="1"/>
    <x v="3"/>
    <n v="28573"/>
    <n v="9"/>
    <s v="Laptop"/>
    <s v="West"/>
    <n v="257157"/>
  </r>
  <r>
    <s v="ORD324"/>
    <x v="19"/>
    <x v="0"/>
    <x v="0"/>
    <n v="18058"/>
    <n v="3"/>
    <s v="Monitor"/>
    <s v="South"/>
    <n v="54174"/>
  </r>
  <r>
    <s v="ORD325"/>
    <x v="20"/>
    <x v="1"/>
    <x v="4"/>
    <n v="26948"/>
    <n v="7"/>
    <s v="Tablet"/>
    <s v="West"/>
    <n v="188636"/>
  </r>
  <r>
    <s v="ORD327"/>
    <x v="21"/>
    <x v="1"/>
    <x v="2"/>
    <n v="28777"/>
    <n v="7"/>
    <s v="Phone"/>
    <s v="West"/>
    <n v="201439"/>
  </r>
  <r>
    <s v="ORD328"/>
    <x v="22"/>
    <x v="2"/>
    <x v="3"/>
    <n v="12362"/>
    <n v="7"/>
    <s v="Laptop"/>
    <s v="East"/>
    <n v="86534"/>
  </r>
  <r>
    <s v="ORD329"/>
    <x v="23"/>
    <x v="2"/>
    <x v="0"/>
    <n v="6701"/>
    <n v="10"/>
    <s v="Monitor"/>
    <s v="East"/>
    <n v="67010"/>
  </r>
  <r>
    <s v="ORD330"/>
    <x v="24"/>
    <x v="1"/>
    <x v="1"/>
    <n v="19406"/>
    <n v="9"/>
    <s v="Headphones"/>
    <s v="West"/>
    <n v="174654"/>
  </r>
  <r>
    <s v="ORD332"/>
    <x v="25"/>
    <x v="3"/>
    <x v="1"/>
    <n v="2959"/>
    <n v="2"/>
    <s v="Headphones"/>
    <s v="North"/>
    <n v="5918"/>
  </r>
  <r>
    <s v="ORD333"/>
    <x v="17"/>
    <x v="0"/>
    <x v="3"/>
    <n v="26034"/>
    <n v="7"/>
    <s v="Laptop"/>
    <s v="South"/>
    <n v="182238"/>
  </r>
  <r>
    <s v="ORD334"/>
    <x v="26"/>
    <x v="3"/>
    <x v="1"/>
    <n v="17379"/>
    <n v="1"/>
    <s v="Headphones"/>
    <s v="North"/>
    <n v="17379"/>
  </r>
  <r>
    <s v="ORD335"/>
    <x v="27"/>
    <x v="0"/>
    <x v="0"/>
    <n v="28510"/>
    <n v="6"/>
    <s v="Monitor"/>
    <s v="South"/>
    <n v="171060"/>
  </r>
  <r>
    <s v="ORD336"/>
    <x v="28"/>
    <x v="0"/>
    <x v="2"/>
    <n v="49267"/>
    <n v="7"/>
    <s v="Phone"/>
    <s v="South"/>
    <n v="344869"/>
  </r>
  <r>
    <s v="ORD337"/>
    <x v="29"/>
    <x v="1"/>
    <x v="1"/>
    <n v="20994"/>
    <n v="3"/>
    <s v="Headphones"/>
    <s v="West"/>
    <n v="62982"/>
  </r>
  <r>
    <s v="ORD338"/>
    <x v="30"/>
    <x v="1"/>
    <x v="1"/>
    <n v="44552"/>
    <n v="8"/>
    <s v="Headphones"/>
    <s v="West"/>
    <n v="356416"/>
  </r>
  <r>
    <s v="ORD339"/>
    <x v="31"/>
    <x v="0"/>
    <x v="4"/>
    <n v="24035"/>
    <n v="4"/>
    <s v="Tablet"/>
    <s v="South"/>
    <n v="96140"/>
  </r>
  <r>
    <s v="ORD340"/>
    <x v="32"/>
    <x v="1"/>
    <x v="0"/>
    <n v="46087"/>
    <n v="5"/>
    <s v="Monitor"/>
    <s v="West"/>
    <n v="230435"/>
  </r>
  <r>
    <s v="ORD341"/>
    <x v="33"/>
    <x v="0"/>
    <x v="0"/>
    <n v="47697"/>
    <n v="3"/>
    <s v="Monitor"/>
    <s v="South"/>
    <n v="143091"/>
  </r>
  <r>
    <s v="ORD343"/>
    <x v="34"/>
    <x v="3"/>
    <x v="2"/>
    <n v="46322"/>
    <n v="2"/>
    <s v="Phone"/>
    <s v="North"/>
    <n v="92644"/>
  </r>
  <r>
    <s v="ORD344"/>
    <x v="35"/>
    <x v="2"/>
    <x v="2"/>
    <n v="10865"/>
    <n v="5"/>
    <s v="Phone"/>
    <s v="East"/>
    <n v="54325"/>
  </r>
  <r>
    <s v="ORD345"/>
    <x v="36"/>
    <x v="1"/>
    <x v="3"/>
    <n v="15540"/>
    <n v="5"/>
    <s v="Laptop"/>
    <s v="West"/>
    <n v="77700"/>
  </r>
  <r>
    <s v="ORD346"/>
    <x v="37"/>
    <x v="2"/>
    <x v="3"/>
    <n v="33030"/>
    <n v="2"/>
    <s v="Laptop"/>
    <s v="East"/>
    <n v="66060"/>
  </r>
  <r>
    <s v="ORD347"/>
    <x v="38"/>
    <x v="1"/>
    <x v="0"/>
    <n v="43651"/>
    <n v="7"/>
    <s v="Monitor"/>
    <s v="West"/>
    <n v="305557"/>
  </r>
  <r>
    <s v="ORD348"/>
    <x v="39"/>
    <x v="2"/>
    <x v="1"/>
    <n v="11444"/>
    <n v="5"/>
    <s v="Headphones"/>
    <s v="East"/>
    <n v="57220"/>
  </r>
  <r>
    <s v="ORD349"/>
    <x v="7"/>
    <x v="3"/>
    <x v="0"/>
    <n v="39094"/>
    <n v="10"/>
    <s v="Monitor"/>
    <s v="North"/>
    <n v="390940"/>
  </r>
  <r>
    <s v="ORD350"/>
    <x v="40"/>
    <x v="0"/>
    <x v="4"/>
    <n v="37314"/>
    <n v="3"/>
    <s v="Tablet"/>
    <s v="South"/>
    <n v="111942"/>
  </r>
  <r>
    <s v="ORD351"/>
    <x v="40"/>
    <x v="1"/>
    <x v="4"/>
    <n v="42217"/>
    <n v="3"/>
    <s v="Tablet"/>
    <s v="West"/>
    <n v="126651"/>
  </r>
  <r>
    <s v="ORD352"/>
    <x v="41"/>
    <x v="1"/>
    <x v="3"/>
    <n v="41912"/>
    <n v="3"/>
    <s v="Laptop"/>
    <s v="West"/>
    <n v="125736"/>
  </r>
  <r>
    <s v="ORD353"/>
    <x v="42"/>
    <x v="2"/>
    <x v="1"/>
    <n v="12777"/>
    <n v="6"/>
    <s v="Headphones"/>
    <s v="East"/>
    <n v="76662"/>
  </r>
  <r>
    <s v="ORD354"/>
    <x v="43"/>
    <x v="3"/>
    <x v="0"/>
    <n v="4934"/>
    <n v="7"/>
    <s v="Monitor"/>
    <s v="North"/>
    <n v="34538"/>
  </r>
  <r>
    <s v="ORD355"/>
    <x v="44"/>
    <x v="0"/>
    <x v="0"/>
    <n v="48460"/>
    <n v="9"/>
    <s v="Monitor"/>
    <s v="South"/>
    <n v="436140"/>
  </r>
  <r>
    <s v="ORD356"/>
    <x v="30"/>
    <x v="2"/>
    <x v="4"/>
    <n v="6723"/>
    <n v="7"/>
    <s v="Tablet"/>
    <s v="East"/>
    <n v="47061"/>
  </r>
  <r>
    <s v="ORD357"/>
    <x v="45"/>
    <x v="2"/>
    <x v="0"/>
    <n v="15705"/>
    <n v="1"/>
    <s v="Monitor"/>
    <s v="East"/>
    <n v="15705"/>
  </r>
  <r>
    <s v="ORD359"/>
    <x v="46"/>
    <x v="3"/>
    <x v="4"/>
    <n v="37333"/>
    <n v="10"/>
    <s v="Tablet"/>
    <s v="North"/>
    <n v="373330"/>
  </r>
  <r>
    <s v="ORD360"/>
    <x v="47"/>
    <x v="0"/>
    <x v="3"/>
    <n v="18586"/>
    <n v="6"/>
    <s v="Laptop"/>
    <s v="South"/>
    <n v="111516"/>
  </r>
  <r>
    <s v="ORD361"/>
    <x v="48"/>
    <x v="0"/>
    <x v="0"/>
    <n v="40525"/>
    <n v="6"/>
    <s v="Monitor"/>
    <s v="South"/>
    <n v="243150"/>
  </r>
  <r>
    <s v="ORD363"/>
    <x v="49"/>
    <x v="1"/>
    <x v="1"/>
    <n v="41257"/>
    <n v="8"/>
    <s v="Headphones"/>
    <s v="West"/>
    <n v="330056"/>
  </r>
  <r>
    <s v="ORD364"/>
    <x v="50"/>
    <x v="1"/>
    <x v="2"/>
    <n v="24988"/>
    <n v="6"/>
    <s v="Phone"/>
    <s v="West"/>
    <n v="149928"/>
  </r>
  <r>
    <s v="ORD365"/>
    <x v="51"/>
    <x v="1"/>
    <x v="3"/>
    <n v="29690"/>
    <n v="8"/>
    <s v="Laptop"/>
    <s v="West"/>
    <n v="237520"/>
  </r>
  <r>
    <s v="ORD367"/>
    <x v="14"/>
    <x v="0"/>
    <x v="3"/>
    <n v="24015"/>
    <n v="1"/>
    <s v="Laptop"/>
    <s v="South"/>
    <n v="24015"/>
  </r>
  <r>
    <s v="ORD368"/>
    <x v="52"/>
    <x v="3"/>
    <x v="2"/>
    <n v="20992"/>
    <n v="6"/>
    <s v="Phone"/>
    <s v="North"/>
    <n v="125952"/>
  </r>
  <r>
    <s v="ORD369"/>
    <x v="53"/>
    <x v="3"/>
    <x v="4"/>
    <n v="3122"/>
    <n v="8"/>
    <s v="Tablet"/>
    <s v="North"/>
    <n v="24976"/>
  </r>
  <r>
    <s v="ORD372"/>
    <x v="49"/>
    <x v="2"/>
    <x v="4"/>
    <n v="44637"/>
    <n v="7"/>
    <s v="Tablet"/>
    <s v="East"/>
    <n v="312459"/>
  </r>
  <r>
    <s v="ORD373"/>
    <x v="54"/>
    <x v="3"/>
    <x v="1"/>
    <n v="7065"/>
    <n v="7"/>
    <s v="Headphones"/>
    <s v="North"/>
    <n v="49455"/>
  </r>
  <r>
    <s v="ORD374"/>
    <x v="55"/>
    <x v="2"/>
    <x v="4"/>
    <n v="49765"/>
    <n v="8"/>
    <s v="Tablet"/>
    <s v="East"/>
    <n v="398120"/>
  </r>
  <r>
    <s v="ORD375"/>
    <x v="14"/>
    <x v="1"/>
    <x v="3"/>
    <n v="28230"/>
    <n v="8"/>
    <s v="Laptop"/>
    <s v="West"/>
    <n v="225840"/>
  </r>
  <r>
    <s v="ORD376"/>
    <x v="56"/>
    <x v="3"/>
    <x v="2"/>
    <n v="39389"/>
    <n v="10"/>
    <s v="Phone"/>
    <s v="North"/>
    <n v="393890"/>
  </r>
  <r>
    <s v="ORD377"/>
    <x v="57"/>
    <x v="2"/>
    <x v="3"/>
    <n v="25569"/>
    <n v="2"/>
    <s v="Laptop"/>
    <s v="East"/>
    <n v="51138"/>
  </r>
  <r>
    <s v="ORD378"/>
    <x v="58"/>
    <x v="3"/>
    <x v="2"/>
    <n v="2217"/>
    <n v="3"/>
    <s v="Phone"/>
    <s v="North"/>
    <n v="6651"/>
  </r>
  <r>
    <s v="ORD379"/>
    <x v="59"/>
    <x v="2"/>
    <x v="2"/>
    <n v="2347"/>
    <n v="10"/>
    <s v="Phone"/>
    <s v="East"/>
    <n v="23470"/>
  </r>
  <r>
    <s v="ORD381"/>
    <x v="60"/>
    <x v="3"/>
    <x v="1"/>
    <n v="8058"/>
    <n v="10"/>
    <s v="Headphones"/>
    <s v="North"/>
    <n v="80580"/>
  </r>
  <r>
    <s v="ORD382"/>
    <x v="58"/>
    <x v="2"/>
    <x v="0"/>
    <n v="44899"/>
    <n v="10"/>
    <s v="Monitor"/>
    <s v="East"/>
    <n v="448990"/>
  </r>
  <r>
    <s v="ORD383"/>
    <x v="61"/>
    <x v="3"/>
    <x v="4"/>
    <n v="8499"/>
    <n v="2"/>
    <s v="Tablet"/>
    <s v="North"/>
    <n v="16998"/>
  </r>
  <r>
    <s v="ORD384"/>
    <x v="62"/>
    <x v="1"/>
    <x v="0"/>
    <n v="43189"/>
    <n v="1"/>
    <s v="Monitor"/>
    <s v="West"/>
    <n v="43189"/>
  </r>
  <r>
    <s v="ORD385"/>
    <x v="63"/>
    <x v="2"/>
    <x v="4"/>
    <n v="23770"/>
    <n v="4"/>
    <s v="Tablet"/>
    <s v="East"/>
    <n v="95080"/>
  </r>
  <r>
    <s v="ORD386"/>
    <x v="64"/>
    <x v="1"/>
    <x v="2"/>
    <n v="25380"/>
    <n v="7"/>
    <s v="Phone"/>
    <s v="West"/>
    <n v="177660"/>
  </r>
  <r>
    <s v="ORD389"/>
    <x v="65"/>
    <x v="1"/>
    <x v="1"/>
    <n v="4368"/>
    <n v="5"/>
    <s v="Headphones"/>
    <s v="West"/>
    <n v="21840"/>
  </r>
  <r>
    <s v="ORD390"/>
    <x v="66"/>
    <x v="1"/>
    <x v="1"/>
    <n v="19417"/>
    <n v="6"/>
    <s v="Headphones"/>
    <s v="West"/>
    <n v="116502"/>
  </r>
  <r>
    <s v="ORD391"/>
    <x v="65"/>
    <x v="1"/>
    <x v="4"/>
    <n v="13690"/>
    <n v="9"/>
    <s v="Tablet"/>
    <s v="West"/>
    <n v="123210"/>
  </r>
  <r>
    <s v="ORD391"/>
    <x v="65"/>
    <x v="1"/>
    <x v="4"/>
    <n v="13690"/>
    <n v="9"/>
    <s v="Tablet"/>
    <s v="West"/>
    <n v="123210"/>
  </r>
  <r>
    <s v="ORD394"/>
    <x v="67"/>
    <x v="1"/>
    <x v="4"/>
    <n v="30783"/>
    <n v="5"/>
    <s v="Tablet"/>
    <s v="West"/>
    <n v="153915"/>
  </r>
  <r>
    <s v="ORD395"/>
    <x v="68"/>
    <x v="0"/>
    <x v="2"/>
    <n v="23151"/>
    <n v="7"/>
    <s v="Phone"/>
    <s v="South"/>
    <n v="162057"/>
  </r>
  <r>
    <s v="ORD397"/>
    <x v="69"/>
    <x v="1"/>
    <x v="0"/>
    <n v="44456"/>
    <n v="3"/>
    <s v="Monitor"/>
    <s v="West"/>
    <n v="133368"/>
  </r>
  <r>
    <s v="ORD398"/>
    <x v="70"/>
    <x v="2"/>
    <x v="1"/>
    <n v="1656"/>
    <n v="9"/>
    <s v="Headphones"/>
    <s v="East"/>
    <n v="14904"/>
  </r>
  <r>
    <s v="ORD399"/>
    <x v="15"/>
    <x v="3"/>
    <x v="1"/>
    <n v="4152"/>
    <n v="10"/>
    <s v="Headphones"/>
    <s v="North"/>
    <n v="41520"/>
  </r>
  <r>
    <s v="ORD3100"/>
    <x v="71"/>
    <x v="3"/>
    <x v="2"/>
    <n v="32651"/>
    <n v="5"/>
    <s v="Phone"/>
    <s v="North"/>
    <n v="163255"/>
  </r>
  <r>
    <s v="ORD3102"/>
    <x v="72"/>
    <x v="2"/>
    <x v="3"/>
    <n v="15722"/>
    <n v="5"/>
    <s v="Laptop"/>
    <s v="East"/>
    <n v="78610"/>
  </r>
  <r>
    <s v="ORD3103"/>
    <x v="73"/>
    <x v="3"/>
    <x v="2"/>
    <n v="11398"/>
    <n v="2"/>
    <s v="Phone"/>
    <s v="North"/>
    <n v="22796"/>
  </r>
  <r>
    <s v="ORD3104"/>
    <x v="74"/>
    <x v="2"/>
    <x v="1"/>
    <n v="36360"/>
    <n v="5"/>
    <s v="Headphones"/>
    <s v="East"/>
    <n v="181800"/>
  </r>
  <r>
    <s v="ORD3105"/>
    <x v="75"/>
    <x v="1"/>
    <x v="2"/>
    <n v="6446"/>
    <n v="8"/>
    <s v="Phone"/>
    <s v="West"/>
    <n v="51568"/>
  </r>
  <r>
    <s v="ORD3107"/>
    <x v="75"/>
    <x v="0"/>
    <x v="3"/>
    <n v="29343"/>
    <n v="5"/>
    <s v="Laptop"/>
    <s v="South"/>
    <n v="146715"/>
  </r>
  <r>
    <s v="ORD3108"/>
    <x v="76"/>
    <x v="0"/>
    <x v="4"/>
    <n v="4519"/>
    <n v="6"/>
    <s v="Tablet"/>
    <s v="South"/>
    <n v="27114"/>
  </r>
  <r>
    <s v="ORD3109"/>
    <x v="77"/>
    <x v="2"/>
    <x v="1"/>
    <n v="11118"/>
    <n v="1"/>
    <s v="Headphones"/>
    <s v="East"/>
    <n v="11118"/>
  </r>
  <r>
    <s v="ORD3110"/>
    <x v="78"/>
    <x v="1"/>
    <x v="0"/>
    <n v="44032"/>
    <n v="8"/>
    <s v="Monitor"/>
    <s v="West"/>
    <n v="352256"/>
  </r>
  <r>
    <s v="ORD3111"/>
    <x v="49"/>
    <x v="2"/>
    <x v="4"/>
    <n v="44584"/>
    <n v="3"/>
    <s v="Tablet"/>
    <s v="East"/>
    <n v="133752"/>
  </r>
  <r>
    <s v="ORD3112"/>
    <x v="79"/>
    <x v="0"/>
    <x v="0"/>
    <n v="21823"/>
    <n v="7"/>
    <s v="Monitor"/>
    <s v="South"/>
    <n v="152761"/>
  </r>
  <r>
    <s v="ORD3113"/>
    <x v="80"/>
    <x v="2"/>
    <x v="1"/>
    <n v="19523"/>
    <n v="10"/>
    <s v="Headphones"/>
    <s v="East"/>
    <n v="195230"/>
  </r>
  <r>
    <s v="ORD3114"/>
    <x v="81"/>
    <x v="2"/>
    <x v="0"/>
    <n v="24899"/>
    <n v="6"/>
    <s v="Monitor"/>
    <s v="East"/>
    <n v="149394"/>
  </r>
  <r>
    <s v="ORD3115"/>
    <x v="82"/>
    <x v="2"/>
    <x v="3"/>
    <n v="13795"/>
    <n v="6"/>
    <s v="Laptop"/>
    <s v="East"/>
    <n v="82770"/>
  </r>
  <r>
    <s v="ORD3116"/>
    <x v="83"/>
    <x v="2"/>
    <x v="2"/>
    <n v="13506"/>
    <n v="3"/>
    <s v="Phone"/>
    <s v="East"/>
    <n v="40518"/>
  </r>
  <r>
    <s v="ORD3117"/>
    <x v="39"/>
    <x v="3"/>
    <x v="1"/>
    <n v="29153"/>
    <n v="5"/>
    <s v="Headphones"/>
    <s v="North"/>
    <n v="145765"/>
  </r>
  <r>
    <s v="ORD3118"/>
    <x v="84"/>
    <x v="3"/>
    <x v="0"/>
    <n v="20167"/>
    <n v="2"/>
    <s v="Monitor"/>
    <s v="North"/>
    <n v="40334"/>
  </r>
  <r>
    <s v="ORD3119"/>
    <x v="85"/>
    <x v="2"/>
    <x v="4"/>
    <n v="41619"/>
    <n v="6"/>
    <s v="Tablet"/>
    <s v="East"/>
    <n v="249714"/>
  </r>
  <r>
    <s v="ORD3122"/>
    <x v="86"/>
    <x v="0"/>
    <x v="4"/>
    <n v="49290"/>
    <n v="7"/>
    <s v="Tablet"/>
    <s v="South"/>
    <n v="345030"/>
  </r>
  <r>
    <s v="ORD3123"/>
    <x v="87"/>
    <x v="0"/>
    <x v="2"/>
    <n v="15097"/>
    <n v="6"/>
    <s v="Phone"/>
    <s v="South"/>
    <n v="90582"/>
  </r>
  <r>
    <s v="ORD3124"/>
    <x v="88"/>
    <x v="1"/>
    <x v="2"/>
    <n v="49554"/>
    <n v="10"/>
    <s v="Phone"/>
    <s v="West"/>
    <n v="495540"/>
  </r>
  <r>
    <s v="ORD3125"/>
    <x v="89"/>
    <x v="2"/>
    <x v="3"/>
    <n v="14524"/>
    <n v="6"/>
    <s v="Laptop"/>
    <s v="East"/>
    <n v="87144"/>
  </r>
  <r>
    <s v="ORD3126"/>
    <x v="90"/>
    <x v="1"/>
    <x v="4"/>
    <n v="16258"/>
    <n v="6"/>
    <s v="Tablet"/>
    <s v="West"/>
    <n v="97548"/>
  </r>
  <r>
    <s v="ORD3127"/>
    <x v="44"/>
    <x v="3"/>
    <x v="0"/>
    <n v="797"/>
    <n v="4"/>
    <s v="Monitor"/>
    <s v="North"/>
    <n v="3188"/>
  </r>
  <r>
    <s v="ORD3128"/>
    <x v="32"/>
    <x v="2"/>
    <x v="0"/>
    <n v="20954"/>
    <n v="10"/>
    <s v="Monitor"/>
    <s v="East"/>
    <n v="209540"/>
  </r>
  <r>
    <s v="ORD3129"/>
    <x v="91"/>
    <x v="2"/>
    <x v="0"/>
    <n v="18882"/>
    <n v="7"/>
    <s v="Monitor"/>
    <s v="East"/>
    <n v="132174"/>
  </r>
  <r>
    <s v="ORD3130"/>
    <x v="92"/>
    <x v="0"/>
    <x v="3"/>
    <n v="7708"/>
    <n v="7"/>
    <s v="Laptop"/>
    <s v="South"/>
    <n v="53956"/>
  </r>
  <r>
    <s v="ORD3131"/>
    <x v="15"/>
    <x v="2"/>
    <x v="2"/>
    <n v="7220"/>
    <n v="1"/>
    <s v="Phone"/>
    <s v="East"/>
    <n v="7220"/>
  </r>
  <r>
    <s v="ORD3132"/>
    <x v="93"/>
    <x v="0"/>
    <x v="4"/>
    <n v="20506"/>
    <n v="6"/>
    <s v="Tablet"/>
    <s v="South"/>
    <n v="123036"/>
  </r>
  <r>
    <s v="ORD3133"/>
    <x v="94"/>
    <x v="1"/>
    <x v="0"/>
    <n v="9445"/>
    <n v="4"/>
    <s v="Monitor"/>
    <s v="West"/>
    <n v="37780"/>
  </r>
  <r>
    <s v="ORD3134"/>
    <x v="86"/>
    <x v="0"/>
    <x v="1"/>
    <n v="34934"/>
    <n v="5"/>
    <s v="Headphones"/>
    <s v="South"/>
    <n v="174670"/>
  </r>
  <r>
    <s v="ORD3135"/>
    <x v="95"/>
    <x v="1"/>
    <x v="3"/>
    <n v="151"/>
    <n v="7"/>
    <s v="Laptop"/>
    <s v="West"/>
    <n v="1057"/>
  </r>
  <r>
    <s v="ORD3136"/>
    <x v="96"/>
    <x v="1"/>
    <x v="1"/>
    <n v="20503"/>
    <n v="7"/>
    <s v="Headphones"/>
    <s v="West"/>
    <n v="143521"/>
  </r>
  <r>
    <s v="ORD3137"/>
    <x v="97"/>
    <x v="3"/>
    <x v="0"/>
    <n v="33236"/>
    <n v="9"/>
    <s v="Monitor"/>
    <s v="North"/>
    <n v="299124"/>
  </r>
  <r>
    <s v="ORD3138"/>
    <x v="98"/>
    <x v="3"/>
    <x v="4"/>
    <n v="19564"/>
    <n v="9"/>
    <s v="Tablet"/>
    <s v="North"/>
    <n v="176076"/>
  </r>
  <r>
    <s v="ORD3139"/>
    <x v="38"/>
    <x v="2"/>
    <x v="4"/>
    <n v="39431"/>
    <n v="6"/>
    <s v="Tablet"/>
    <s v="East"/>
    <n v="236586"/>
  </r>
  <r>
    <s v="ORD3140"/>
    <x v="99"/>
    <x v="0"/>
    <x v="2"/>
    <n v="32170"/>
    <n v="6"/>
    <s v="Phone"/>
    <s v="South"/>
    <n v="193020"/>
  </r>
  <r>
    <s v="ORD3141"/>
    <x v="100"/>
    <x v="0"/>
    <x v="1"/>
    <n v="42505"/>
    <n v="10"/>
    <s v="Headphones"/>
    <s v="South"/>
    <n v="425050"/>
  </r>
  <r>
    <s v="ORD3142"/>
    <x v="95"/>
    <x v="0"/>
    <x v="0"/>
    <n v="34748"/>
    <n v="2"/>
    <s v="Monitor"/>
    <s v="South"/>
    <n v="69496"/>
  </r>
  <r>
    <s v="ORD3143"/>
    <x v="101"/>
    <x v="1"/>
    <x v="3"/>
    <n v="28785"/>
    <n v="5"/>
    <s v="Laptop"/>
    <s v="West"/>
    <n v="143925"/>
  </r>
  <r>
    <s v="ORD3144"/>
    <x v="102"/>
    <x v="1"/>
    <x v="4"/>
    <n v="26243"/>
    <n v="10"/>
    <s v="Tablet"/>
    <s v="West"/>
    <n v="262430"/>
  </r>
  <r>
    <s v="ORD3145"/>
    <x v="49"/>
    <x v="0"/>
    <x v="4"/>
    <n v="38708"/>
    <n v="3"/>
    <s v="Tablet"/>
    <s v="South"/>
    <n v="116124"/>
  </r>
  <r>
    <s v="ORD3147"/>
    <x v="103"/>
    <x v="1"/>
    <x v="4"/>
    <n v="43814"/>
    <n v="7"/>
    <s v="Tablet"/>
    <s v="West"/>
    <n v="306698"/>
  </r>
  <r>
    <s v="ORD3148"/>
    <x v="104"/>
    <x v="3"/>
    <x v="2"/>
    <n v="6138"/>
    <n v="6"/>
    <s v="Phone"/>
    <s v="North"/>
    <n v="36828"/>
  </r>
  <r>
    <s v="ORD3149"/>
    <x v="105"/>
    <x v="2"/>
    <x v="3"/>
    <n v="31480"/>
    <n v="2"/>
    <s v="Laptop"/>
    <s v="East"/>
    <n v="62960"/>
  </r>
  <r>
    <s v="ORD3150"/>
    <x v="65"/>
    <x v="2"/>
    <x v="2"/>
    <n v="4793"/>
    <n v="3"/>
    <s v="Phone"/>
    <s v="East"/>
    <n v="14379"/>
  </r>
  <r>
    <s v="ORD3151"/>
    <x v="106"/>
    <x v="1"/>
    <x v="0"/>
    <n v="426"/>
    <n v="1"/>
    <s v="Monitor"/>
    <s v="West"/>
    <n v="426"/>
  </r>
  <r>
    <s v="ORD3152"/>
    <x v="107"/>
    <x v="0"/>
    <x v="3"/>
    <n v="40785"/>
    <n v="6"/>
    <s v="Laptop"/>
    <s v="South"/>
    <n v="244710"/>
  </r>
  <r>
    <s v="ORD3153"/>
    <x v="108"/>
    <x v="1"/>
    <x v="2"/>
    <n v="20459"/>
    <n v="6"/>
    <s v="Phone"/>
    <s v="West"/>
    <n v="122754"/>
  </r>
  <r>
    <s v="ORD3154"/>
    <x v="109"/>
    <x v="3"/>
    <x v="4"/>
    <n v="22254"/>
    <n v="4"/>
    <s v="Tablet"/>
    <s v="North"/>
    <n v="89016"/>
  </r>
  <r>
    <s v="ORD3155"/>
    <x v="26"/>
    <x v="2"/>
    <x v="2"/>
    <n v="21612"/>
    <n v="10"/>
    <s v="Phone"/>
    <s v="East"/>
    <n v="216120"/>
  </r>
  <r>
    <s v="ORD3156"/>
    <x v="110"/>
    <x v="1"/>
    <x v="3"/>
    <n v="29184"/>
    <n v="2"/>
    <s v="Laptop"/>
    <s v="West"/>
    <n v="58368"/>
  </r>
  <r>
    <s v="ORD3157"/>
    <x v="111"/>
    <x v="1"/>
    <x v="2"/>
    <n v="35865"/>
    <n v="6"/>
    <s v="Phone"/>
    <s v="West"/>
    <n v="215190"/>
  </r>
  <r>
    <s v="ORD3158"/>
    <x v="9"/>
    <x v="1"/>
    <x v="1"/>
    <n v="3002"/>
    <n v="1"/>
    <s v="Headphones"/>
    <s v="West"/>
    <n v="3002"/>
  </r>
  <r>
    <s v="ORD3158"/>
    <x v="9"/>
    <x v="1"/>
    <x v="1"/>
    <n v="3002"/>
    <n v="1"/>
    <s v="Headphones"/>
    <s v="West"/>
    <n v="3002"/>
  </r>
  <r>
    <s v="ORD3160"/>
    <x v="112"/>
    <x v="0"/>
    <x v="0"/>
    <n v="14690"/>
    <n v="2"/>
    <s v="Monitor"/>
    <s v="South"/>
    <n v="29380"/>
  </r>
  <r>
    <s v="ORD3161"/>
    <x v="113"/>
    <x v="0"/>
    <x v="0"/>
    <n v="10562"/>
    <n v="5"/>
    <s v="Monitor"/>
    <s v="South"/>
    <n v="52810"/>
  </r>
  <r>
    <s v="ORD3163"/>
    <x v="114"/>
    <x v="3"/>
    <x v="4"/>
    <n v="25501"/>
    <n v="8"/>
    <s v="Tablet"/>
    <s v="North"/>
    <n v="204008"/>
  </r>
  <r>
    <s v="ORD3164"/>
    <x v="115"/>
    <x v="2"/>
    <x v="1"/>
    <n v="18436"/>
    <n v="10"/>
    <s v="Headphones"/>
    <s v="East"/>
    <n v="184360"/>
  </r>
  <r>
    <s v="ORD3165"/>
    <x v="116"/>
    <x v="1"/>
    <x v="1"/>
    <n v="33308"/>
    <n v="9"/>
    <s v="Headphones"/>
    <s v="West"/>
    <n v="299772"/>
  </r>
  <r>
    <s v="ORD3166"/>
    <x v="63"/>
    <x v="2"/>
    <x v="1"/>
    <n v="22618"/>
    <n v="7"/>
    <s v="Headphones"/>
    <s v="East"/>
    <n v="158326"/>
  </r>
  <r>
    <s v="ORD3168"/>
    <x v="117"/>
    <x v="1"/>
    <x v="1"/>
    <n v="34611"/>
    <n v="4"/>
    <s v="Headphones"/>
    <s v="West"/>
    <n v="138444"/>
  </r>
  <r>
    <s v="ORD3169"/>
    <x v="79"/>
    <x v="0"/>
    <x v="2"/>
    <n v="37340"/>
    <n v="2"/>
    <s v="Phone"/>
    <s v="South"/>
    <n v="74680"/>
  </r>
  <r>
    <s v="ORD3170"/>
    <x v="118"/>
    <x v="3"/>
    <x v="3"/>
    <n v="20960"/>
    <n v="9"/>
    <s v="Laptop"/>
    <s v="North"/>
    <n v="188640"/>
  </r>
  <r>
    <s v="ORD3171"/>
    <x v="83"/>
    <x v="0"/>
    <x v="1"/>
    <n v="23514"/>
    <n v="1"/>
    <s v="Headphones"/>
    <s v="South"/>
    <n v="23514"/>
  </r>
  <r>
    <s v="ORD3172"/>
    <x v="119"/>
    <x v="2"/>
    <x v="1"/>
    <n v="33709"/>
    <n v="2"/>
    <s v="Headphones"/>
    <s v="East"/>
    <n v="67418"/>
  </r>
  <r>
    <s v="ORD3173"/>
    <x v="85"/>
    <x v="2"/>
    <x v="3"/>
    <n v="10982"/>
    <n v="9"/>
    <s v="Laptop"/>
    <s v="East"/>
    <n v="98838"/>
  </r>
  <r>
    <s v="ORD3175"/>
    <x v="120"/>
    <x v="0"/>
    <x v="0"/>
    <n v="5146"/>
    <n v="9"/>
    <s v="Monitor"/>
    <s v="South"/>
    <n v="46314"/>
  </r>
  <r>
    <s v="ORD3176"/>
    <x v="121"/>
    <x v="0"/>
    <x v="2"/>
    <n v="32901"/>
    <n v="7"/>
    <s v="Phone"/>
    <s v="South"/>
    <n v="230307"/>
  </r>
  <r>
    <s v="ORD3178"/>
    <x v="48"/>
    <x v="0"/>
    <x v="3"/>
    <n v="34360"/>
    <n v="2"/>
    <s v="Laptop"/>
    <s v="South"/>
    <n v="68720"/>
  </r>
  <r>
    <s v="ORD3179"/>
    <x v="122"/>
    <x v="3"/>
    <x v="1"/>
    <n v="31438"/>
    <n v="1"/>
    <s v="Headphones"/>
    <s v="North"/>
    <n v="31438"/>
  </r>
  <r>
    <s v="ORD3180"/>
    <x v="123"/>
    <x v="2"/>
    <x v="0"/>
    <n v="19211"/>
    <n v="6"/>
    <s v="Monitor"/>
    <s v="East"/>
    <n v="115266"/>
  </r>
  <r>
    <s v="ORD3181"/>
    <x v="9"/>
    <x v="1"/>
    <x v="1"/>
    <n v="30706"/>
    <n v="5"/>
    <s v="Headphones"/>
    <s v="West"/>
    <n v="153530"/>
  </r>
  <r>
    <s v="ORD3182"/>
    <x v="91"/>
    <x v="0"/>
    <x v="4"/>
    <n v="2514"/>
    <n v="4"/>
    <s v="Tablet"/>
    <s v="South"/>
    <n v="10056"/>
  </r>
  <r>
    <s v="ORD3183"/>
    <x v="124"/>
    <x v="1"/>
    <x v="3"/>
    <n v="35028"/>
    <n v="1"/>
    <s v="Laptop"/>
    <s v="West"/>
    <n v="35028"/>
  </r>
  <r>
    <s v="ORD3184"/>
    <x v="125"/>
    <x v="3"/>
    <x v="3"/>
    <n v="23455"/>
    <n v="2"/>
    <s v="Laptop"/>
    <s v="North"/>
    <n v="46910"/>
  </r>
  <r>
    <s v="ORD3185"/>
    <x v="126"/>
    <x v="3"/>
    <x v="3"/>
    <n v="47394"/>
    <n v="4"/>
    <s v="Laptop"/>
    <s v="North"/>
    <n v="189576"/>
  </r>
  <r>
    <s v="ORD3186"/>
    <x v="127"/>
    <x v="2"/>
    <x v="3"/>
    <n v="43748"/>
    <n v="1"/>
    <s v="Laptop"/>
    <s v="East"/>
    <n v="43748"/>
  </r>
  <r>
    <s v="ORD3187"/>
    <x v="128"/>
    <x v="2"/>
    <x v="0"/>
    <n v="23510"/>
    <n v="10"/>
    <s v="Monitor"/>
    <s v="East"/>
    <n v="235100"/>
  </r>
  <r>
    <s v="ORD3188"/>
    <x v="129"/>
    <x v="3"/>
    <x v="2"/>
    <n v="36243"/>
    <n v="7"/>
    <s v="Phone"/>
    <s v="North"/>
    <n v="253701"/>
  </r>
  <r>
    <s v="ORD3189"/>
    <x v="106"/>
    <x v="2"/>
    <x v="4"/>
    <n v="30099"/>
    <n v="7"/>
    <s v="Tablet"/>
    <s v="East"/>
    <n v="210693"/>
  </r>
  <r>
    <s v="ORD3191"/>
    <x v="130"/>
    <x v="2"/>
    <x v="1"/>
    <n v="36987"/>
    <n v="4"/>
    <s v="Headphones"/>
    <s v="East"/>
    <n v="147948"/>
  </r>
  <r>
    <s v="ORD3192"/>
    <x v="131"/>
    <x v="3"/>
    <x v="1"/>
    <n v="718"/>
    <n v="5"/>
    <s v="Headphones"/>
    <s v="North"/>
    <n v="3590"/>
  </r>
  <r>
    <s v="ORD3193"/>
    <x v="132"/>
    <x v="3"/>
    <x v="2"/>
    <n v="32784"/>
    <n v="5"/>
    <s v="Phone"/>
    <s v="North"/>
    <n v="163920"/>
  </r>
  <r>
    <s v="ORD3194"/>
    <x v="113"/>
    <x v="3"/>
    <x v="4"/>
    <n v="48279"/>
    <n v="6"/>
    <s v="Tablet"/>
    <s v="North"/>
    <n v="289674"/>
  </r>
  <r>
    <s v="ORD3195"/>
    <x v="133"/>
    <x v="1"/>
    <x v="0"/>
    <n v="35976"/>
    <n v="9"/>
    <s v="Monitor"/>
    <s v="West"/>
    <n v="323784"/>
  </r>
  <r>
    <s v="ORD3197"/>
    <x v="116"/>
    <x v="3"/>
    <x v="0"/>
    <n v="26230"/>
    <n v="10"/>
    <s v="Monitor"/>
    <s v="North"/>
    <n v="262300"/>
  </r>
  <r>
    <s v="ORD3198"/>
    <x v="83"/>
    <x v="1"/>
    <x v="1"/>
    <n v="17906"/>
    <n v="8"/>
    <s v="Headphones"/>
    <s v="West"/>
    <n v="143248"/>
  </r>
  <r>
    <s v="ORD3200"/>
    <x v="134"/>
    <x v="3"/>
    <x v="1"/>
    <n v="21688"/>
    <n v="1"/>
    <s v="Headphones"/>
    <s v="North"/>
    <n v="21688"/>
  </r>
  <r>
    <s v="ORD3201"/>
    <x v="135"/>
    <x v="2"/>
    <x v="3"/>
    <n v="7038"/>
    <n v="9"/>
    <s v="Laptop"/>
    <s v="East"/>
    <n v="63342"/>
  </r>
  <r>
    <s v="ORD3202"/>
    <x v="45"/>
    <x v="2"/>
    <x v="0"/>
    <n v="19241"/>
    <n v="1"/>
    <s v="Monitor"/>
    <s v="East"/>
    <n v="19241"/>
  </r>
  <r>
    <s v="ORD3203"/>
    <x v="109"/>
    <x v="0"/>
    <x v="0"/>
    <n v="26826"/>
    <n v="9"/>
    <s v="Monitor"/>
    <s v="South"/>
    <n v="241434"/>
  </r>
  <r>
    <s v="ORD3204"/>
    <x v="136"/>
    <x v="2"/>
    <x v="0"/>
    <n v="5824"/>
    <n v="2"/>
    <s v="Monitor"/>
    <s v="East"/>
    <n v="11648"/>
  </r>
  <r>
    <s v="ORD3205"/>
    <x v="137"/>
    <x v="2"/>
    <x v="4"/>
    <n v="32640"/>
    <n v="3"/>
    <s v="Tablet"/>
    <s v="East"/>
    <n v="97920"/>
  </r>
  <r>
    <s v="ORD3207"/>
    <x v="138"/>
    <x v="0"/>
    <x v="2"/>
    <n v="37708"/>
    <n v="4"/>
    <s v="Phone"/>
    <s v="South"/>
    <n v="150832"/>
  </r>
  <r>
    <s v="ORD3208"/>
    <x v="139"/>
    <x v="3"/>
    <x v="1"/>
    <n v="43846"/>
    <n v="9"/>
    <s v="Headphones"/>
    <s v="North"/>
    <n v="394614"/>
  </r>
  <r>
    <s v="ORD3209"/>
    <x v="140"/>
    <x v="2"/>
    <x v="0"/>
    <n v="15436"/>
    <n v="8"/>
    <s v="Monitor"/>
    <s v="East"/>
    <n v="123488"/>
  </r>
  <r>
    <s v="ORD3210"/>
    <x v="141"/>
    <x v="0"/>
    <x v="0"/>
    <n v="20218"/>
    <n v="1"/>
    <s v="Monitor"/>
    <s v="South"/>
    <n v="20218"/>
  </r>
  <r>
    <s v="ORD3211"/>
    <x v="142"/>
    <x v="1"/>
    <x v="3"/>
    <n v="26968"/>
    <n v="5"/>
    <s v="Laptop"/>
    <s v="West"/>
    <n v="134840"/>
  </r>
  <r>
    <s v="ORD3212"/>
    <x v="38"/>
    <x v="1"/>
    <x v="3"/>
    <n v="21271"/>
    <n v="5"/>
    <s v="Laptop"/>
    <s v="West"/>
    <n v="106355"/>
  </r>
  <r>
    <s v="ORD3213"/>
    <x v="90"/>
    <x v="2"/>
    <x v="2"/>
    <n v="33663"/>
    <n v="7"/>
    <s v="Phone"/>
    <s v="East"/>
    <n v="235641"/>
  </r>
  <r>
    <s v="ORD3214"/>
    <x v="73"/>
    <x v="0"/>
    <x v="0"/>
    <n v="32605"/>
    <n v="6"/>
    <s v="Monitor"/>
    <s v="South"/>
    <n v="195630"/>
  </r>
  <r>
    <s v="ORD3215"/>
    <x v="21"/>
    <x v="1"/>
    <x v="3"/>
    <n v="6067"/>
    <n v="7"/>
    <s v="Laptop"/>
    <s v="West"/>
    <n v="42469"/>
  </r>
  <r>
    <s v="ORD3217"/>
    <x v="58"/>
    <x v="0"/>
    <x v="2"/>
    <n v="27772"/>
    <n v="1"/>
    <s v="Phone"/>
    <s v="South"/>
    <n v="27772"/>
  </r>
  <r>
    <s v="ORD3219"/>
    <x v="0"/>
    <x v="0"/>
    <x v="4"/>
    <n v="2095"/>
    <n v="1"/>
    <s v="Tablet"/>
    <s v="South"/>
    <n v="2095"/>
  </r>
  <r>
    <s v="ORD3220"/>
    <x v="143"/>
    <x v="1"/>
    <x v="3"/>
    <n v="11361"/>
    <n v="10"/>
    <s v="Laptop"/>
    <s v="West"/>
    <n v="113610"/>
  </r>
  <r>
    <s v="ORD3221"/>
    <x v="144"/>
    <x v="2"/>
    <x v="2"/>
    <n v="38336"/>
    <n v="7"/>
    <s v="Phone"/>
    <s v="East"/>
    <n v="268352"/>
  </r>
  <r>
    <s v="ORD3223"/>
    <x v="0"/>
    <x v="2"/>
    <x v="1"/>
    <n v="16207"/>
    <n v="6"/>
    <s v="Headphones"/>
    <s v="East"/>
    <n v="97242"/>
  </r>
  <r>
    <s v="ORD3225"/>
    <x v="145"/>
    <x v="3"/>
    <x v="1"/>
    <n v="35689"/>
    <n v="9"/>
    <s v="Headphones"/>
    <s v="North"/>
    <n v="321201"/>
  </r>
  <r>
    <s v="ORD3226"/>
    <x v="130"/>
    <x v="2"/>
    <x v="4"/>
    <n v="43491"/>
    <n v="7"/>
    <s v="Tablet"/>
    <s v="East"/>
    <n v="304437"/>
  </r>
  <r>
    <s v="ORD3227"/>
    <x v="146"/>
    <x v="1"/>
    <x v="3"/>
    <n v="33325"/>
    <n v="9"/>
    <s v="Laptop"/>
    <s v="West"/>
    <n v="299925"/>
  </r>
  <r>
    <s v="ORD3228"/>
    <x v="15"/>
    <x v="0"/>
    <x v="0"/>
    <n v="39731"/>
    <n v="5"/>
    <s v="Monitor"/>
    <s v="South"/>
    <n v="198655"/>
  </r>
  <r>
    <s v="ORD3229"/>
    <x v="97"/>
    <x v="3"/>
    <x v="2"/>
    <n v="5034"/>
    <n v="7"/>
    <s v="Phone"/>
    <s v="North"/>
    <n v="35238"/>
  </r>
  <r>
    <s v="ORD3230"/>
    <x v="72"/>
    <x v="2"/>
    <x v="0"/>
    <n v="43683"/>
    <n v="10"/>
    <s v="Monitor"/>
    <s v="East"/>
    <n v="436830"/>
  </r>
  <r>
    <s v="ORD3231"/>
    <x v="15"/>
    <x v="1"/>
    <x v="1"/>
    <n v="1949"/>
    <n v="4"/>
    <s v="Headphones"/>
    <s v="West"/>
    <n v="7796"/>
  </r>
  <r>
    <s v="ORD3232"/>
    <x v="30"/>
    <x v="1"/>
    <x v="3"/>
    <n v="41605"/>
    <n v="8"/>
    <s v="Laptop"/>
    <s v="West"/>
    <n v="332840"/>
  </r>
  <r>
    <s v="ORD3233"/>
    <x v="38"/>
    <x v="2"/>
    <x v="2"/>
    <n v="13917"/>
    <n v="1"/>
    <s v="Phone"/>
    <s v="East"/>
    <n v="13917"/>
  </r>
  <r>
    <s v="ORD3234"/>
    <x v="147"/>
    <x v="1"/>
    <x v="3"/>
    <n v="20466"/>
    <n v="7"/>
    <s v="Laptop"/>
    <s v="West"/>
    <n v="143262"/>
  </r>
  <r>
    <s v="ORD3235"/>
    <x v="129"/>
    <x v="0"/>
    <x v="3"/>
    <n v="6646"/>
    <n v="6"/>
    <s v="Laptop"/>
    <s v="South"/>
    <n v="39876"/>
  </r>
  <r>
    <s v="ORD3237"/>
    <x v="148"/>
    <x v="3"/>
    <x v="4"/>
    <n v="11521"/>
    <n v="7"/>
    <s v="Tablet"/>
    <s v="North"/>
    <n v="80647"/>
  </r>
  <r>
    <s v="ORD3237"/>
    <x v="148"/>
    <x v="3"/>
    <x v="4"/>
    <n v="11521"/>
    <n v="7"/>
    <s v="Tablet"/>
    <s v="North"/>
    <n v="80647"/>
  </r>
  <r>
    <s v="ORD3238"/>
    <x v="119"/>
    <x v="0"/>
    <x v="2"/>
    <n v="14815"/>
    <n v="2"/>
    <s v="Phone"/>
    <s v="South"/>
    <n v="29630"/>
  </r>
  <r>
    <s v="ORD3240"/>
    <x v="73"/>
    <x v="1"/>
    <x v="1"/>
    <n v="17323"/>
    <n v="3"/>
    <s v="Headphones"/>
    <s v="West"/>
    <n v="51969"/>
  </r>
  <r>
    <s v="ORD3241"/>
    <x v="149"/>
    <x v="2"/>
    <x v="2"/>
    <n v="19439"/>
    <n v="6"/>
    <s v="Phone"/>
    <s v="East"/>
    <n v="116634"/>
  </r>
  <r>
    <s v="ORD3242"/>
    <x v="150"/>
    <x v="2"/>
    <x v="1"/>
    <n v="25779"/>
    <n v="2"/>
    <s v="Headphones"/>
    <s v="East"/>
    <n v="51558"/>
  </r>
  <r>
    <s v="ORD3243"/>
    <x v="151"/>
    <x v="2"/>
    <x v="2"/>
    <n v="31958"/>
    <n v="10"/>
    <s v="Phone"/>
    <s v="East"/>
    <n v="319580"/>
  </r>
  <r>
    <s v="ORD3244"/>
    <x v="152"/>
    <x v="2"/>
    <x v="2"/>
    <n v="5235"/>
    <n v="1"/>
    <s v="Phone"/>
    <s v="East"/>
    <n v="5235"/>
  </r>
  <r>
    <s v="ORD3245"/>
    <x v="153"/>
    <x v="2"/>
    <x v="4"/>
    <n v="15237"/>
    <n v="10"/>
    <s v="Tablet"/>
    <s v="East"/>
    <n v="152370"/>
  </r>
  <r>
    <s v="ORD3246"/>
    <x v="154"/>
    <x v="0"/>
    <x v="0"/>
    <n v="17149"/>
    <n v="4"/>
    <s v="Monitor"/>
    <s v="South"/>
    <n v="68596"/>
  </r>
  <r>
    <s v="ORD3247"/>
    <x v="93"/>
    <x v="1"/>
    <x v="0"/>
    <n v="48131"/>
    <n v="3"/>
    <s v="Monitor"/>
    <s v="West"/>
    <n v="144393"/>
  </r>
  <r>
    <s v="ORD3248"/>
    <x v="19"/>
    <x v="2"/>
    <x v="2"/>
    <n v="49622"/>
    <n v="10"/>
    <s v="Phone"/>
    <s v="East"/>
    <n v="496220"/>
  </r>
  <r>
    <s v="ORD3249"/>
    <x v="149"/>
    <x v="2"/>
    <x v="0"/>
    <n v="4732"/>
    <n v="6"/>
    <s v="Monitor"/>
    <s v="East"/>
    <n v="28392"/>
  </r>
  <r>
    <s v="ORD3250"/>
    <x v="145"/>
    <x v="0"/>
    <x v="3"/>
    <n v="301"/>
    <n v="3"/>
    <s v="Laptop"/>
    <s v="South"/>
    <n v="903"/>
  </r>
  <r>
    <s v="ORD3251"/>
    <x v="99"/>
    <x v="2"/>
    <x v="2"/>
    <n v="23780"/>
    <n v="1"/>
    <s v="Phone"/>
    <s v="East"/>
    <n v="23780"/>
  </r>
  <r>
    <s v="ORD3252"/>
    <x v="135"/>
    <x v="0"/>
    <x v="2"/>
    <n v="778"/>
    <n v="10"/>
    <s v="Phone"/>
    <s v="South"/>
    <n v="7780"/>
  </r>
  <r>
    <s v="ORD3253"/>
    <x v="79"/>
    <x v="3"/>
    <x v="0"/>
    <n v="20811"/>
    <n v="5"/>
    <s v="Monitor"/>
    <s v="North"/>
    <n v="104055"/>
  </r>
  <r>
    <s v="ORD3255"/>
    <x v="146"/>
    <x v="0"/>
    <x v="4"/>
    <n v="29172"/>
    <n v="1"/>
    <s v="Tablet"/>
    <s v="South"/>
    <n v="29172"/>
  </r>
  <r>
    <s v="ORD3256"/>
    <x v="155"/>
    <x v="1"/>
    <x v="1"/>
    <n v="31721"/>
    <n v="8"/>
    <s v="Headphones"/>
    <s v="West"/>
    <n v="253768"/>
  </r>
  <r>
    <s v="ORD3257"/>
    <x v="156"/>
    <x v="3"/>
    <x v="3"/>
    <n v="5966"/>
    <n v="6"/>
    <s v="Laptop"/>
    <s v="North"/>
    <n v="35796"/>
  </r>
  <r>
    <s v="ORD3258"/>
    <x v="68"/>
    <x v="2"/>
    <x v="0"/>
    <n v="32797"/>
    <n v="8"/>
    <s v="Monitor"/>
    <s v="East"/>
    <n v="262376"/>
  </r>
  <r>
    <s v="ORD3259"/>
    <x v="157"/>
    <x v="3"/>
    <x v="1"/>
    <n v="13341"/>
    <n v="6"/>
    <s v="Headphones"/>
    <s v="North"/>
    <n v="80046"/>
  </r>
  <r>
    <s v="ORD3260"/>
    <x v="116"/>
    <x v="2"/>
    <x v="3"/>
    <n v="26213"/>
    <n v="5"/>
    <s v="Laptop"/>
    <s v="East"/>
    <n v="131065"/>
  </r>
  <r>
    <s v="ORD3261"/>
    <x v="72"/>
    <x v="1"/>
    <x v="4"/>
    <n v="40779"/>
    <n v="9"/>
    <s v="Tablet"/>
    <s v="West"/>
    <n v="367011"/>
  </r>
  <r>
    <s v="ORD3262"/>
    <x v="154"/>
    <x v="0"/>
    <x v="4"/>
    <n v="7028"/>
    <n v="9"/>
    <s v="Tablet"/>
    <s v="South"/>
    <n v="63252"/>
  </r>
  <r>
    <s v="ORD3264"/>
    <x v="86"/>
    <x v="3"/>
    <x v="0"/>
    <n v="49402"/>
    <n v="3"/>
    <s v="Monitor"/>
    <s v="North"/>
    <n v="148206"/>
  </r>
  <r>
    <s v="ORD3265"/>
    <x v="158"/>
    <x v="0"/>
    <x v="1"/>
    <n v="33255"/>
    <n v="6"/>
    <s v="Headphones"/>
    <s v="South"/>
    <n v="199530"/>
  </r>
  <r>
    <s v="ORD3266"/>
    <x v="159"/>
    <x v="0"/>
    <x v="4"/>
    <n v="36701"/>
    <n v="5"/>
    <s v="Tablet"/>
    <s v="South"/>
    <n v="183505"/>
  </r>
  <r>
    <s v="ORD3267"/>
    <x v="150"/>
    <x v="1"/>
    <x v="3"/>
    <n v="34305"/>
    <n v="8"/>
    <s v="Laptop"/>
    <s v="West"/>
    <n v="274440"/>
  </r>
  <r>
    <s v="ORD3269"/>
    <x v="75"/>
    <x v="1"/>
    <x v="1"/>
    <n v="13632"/>
    <n v="1"/>
    <s v="Headphones"/>
    <s v="West"/>
    <n v="13632"/>
  </r>
  <r>
    <s v="ORD3270"/>
    <x v="160"/>
    <x v="1"/>
    <x v="0"/>
    <n v="8397"/>
    <n v="7"/>
    <s v="Monitor"/>
    <s v="West"/>
    <n v="58779"/>
  </r>
  <r>
    <s v="ORD3271"/>
    <x v="161"/>
    <x v="0"/>
    <x v="0"/>
    <n v="36840"/>
    <n v="5"/>
    <s v="Monitor"/>
    <s v="South"/>
    <n v="184200"/>
  </r>
  <r>
    <s v="ORD3272"/>
    <x v="11"/>
    <x v="0"/>
    <x v="1"/>
    <n v="14485"/>
    <n v="8"/>
    <s v="Headphones"/>
    <s v="South"/>
    <n v="115880"/>
  </r>
  <r>
    <s v="ORD3273"/>
    <x v="36"/>
    <x v="2"/>
    <x v="2"/>
    <n v="26859"/>
    <n v="3"/>
    <s v="Phone"/>
    <s v="East"/>
    <n v="80577"/>
  </r>
  <r>
    <s v="ORD3274"/>
    <x v="162"/>
    <x v="3"/>
    <x v="1"/>
    <n v="41412"/>
    <n v="2"/>
    <s v="Headphones"/>
    <s v="North"/>
    <n v="82824"/>
  </r>
  <r>
    <s v="ORD3274"/>
    <x v="162"/>
    <x v="3"/>
    <x v="1"/>
    <n v="41412"/>
    <n v="2"/>
    <s v="Headphones"/>
    <s v="North"/>
    <n v="82824"/>
  </r>
  <r>
    <s v="ORD3275"/>
    <x v="163"/>
    <x v="2"/>
    <x v="2"/>
    <n v="36176"/>
    <n v="10"/>
    <s v="Phone"/>
    <s v="East"/>
    <n v="361760"/>
  </r>
  <r>
    <s v="ORD3276"/>
    <x v="131"/>
    <x v="3"/>
    <x v="0"/>
    <n v="26153"/>
    <n v="1"/>
    <s v="Monitor"/>
    <s v="North"/>
    <n v="26153"/>
  </r>
  <r>
    <s v="ORD3277"/>
    <x v="164"/>
    <x v="2"/>
    <x v="0"/>
    <n v="16781"/>
    <n v="4"/>
    <s v="Monitor"/>
    <s v="East"/>
    <n v="67124"/>
  </r>
  <r>
    <s v="ORD3278"/>
    <x v="39"/>
    <x v="0"/>
    <x v="4"/>
    <n v="24884"/>
    <n v="2"/>
    <s v="Tablet"/>
    <s v="South"/>
    <n v="49768"/>
  </r>
  <r>
    <s v="ORD3280"/>
    <x v="132"/>
    <x v="3"/>
    <x v="3"/>
    <n v="28285"/>
    <n v="7"/>
    <s v="Laptop"/>
    <s v="North"/>
    <n v="197995"/>
  </r>
  <r>
    <s v="ORD3281"/>
    <x v="165"/>
    <x v="1"/>
    <x v="1"/>
    <n v="18885"/>
    <n v="8"/>
    <s v="Headphones"/>
    <s v="West"/>
    <n v="151080"/>
  </r>
  <r>
    <s v="ORD3282"/>
    <x v="160"/>
    <x v="2"/>
    <x v="3"/>
    <n v="19372"/>
    <n v="8"/>
    <s v="Laptop"/>
    <s v="East"/>
    <n v="154976"/>
  </r>
  <r>
    <s v="ORD3283"/>
    <x v="38"/>
    <x v="2"/>
    <x v="1"/>
    <n v="16131"/>
    <n v="10"/>
    <s v="Headphones"/>
    <s v="East"/>
    <n v="161310"/>
  </r>
  <r>
    <s v="ORD3285"/>
    <x v="154"/>
    <x v="1"/>
    <x v="0"/>
    <n v="2408"/>
    <n v="2"/>
    <s v="Monitor"/>
    <s v="West"/>
    <n v="4816"/>
  </r>
  <r>
    <s v="ORD3287"/>
    <x v="166"/>
    <x v="0"/>
    <x v="0"/>
    <n v="37053"/>
    <n v="3"/>
    <s v="Monitor"/>
    <s v="South"/>
    <n v="111159"/>
  </r>
  <r>
    <s v="ORD3288"/>
    <x v="46"/>
    <x v="3"/>
    <x v="2"/>
    <n v="21922"/>
    <n v="7"/>
    <s v="Phone"/>
    <s v="North"/>
    <n v="153454"/>
  </r>
  <r>
    <s v="ORD3289"/>
    <x v="52"/>
    <x v="0"/>
    <x v="3"/>
    <n v="11978"/>
    <n v="2"/>
    <s v="Laptop"/>
    <s v="South"/>
    <n v="23956"/>
  </r>
  <r>
    <s v="ORD3290"/>
    <x v="167"/>
    <x v="0"/>
    <x v="3"/>
    <n v="43746"/>
    <n v="4"/>
    <s v="Laptop"/>
    <s v="South"/>
    <n v="174984"/>
  </r>
  <r>
    <s v="ORD3292"/>
    <x v="168"/>
    <x v="1"/>
    <x v="1"/>
    <n v="36796"/>
    <n v="6"/>
    <s v="Headphones"/>
    <s v="West"/>
    <n v="220776"/>
  </r>
  <r>
    <s v="ORD3293"/>
    <x v="169"/>
    <x v="1"/>
    <x v="0"/>
    <n v="20704"/>
    <n v="3"/>
    <s v="Monitor"/>
    <s v="West"/>
    <n v="62112"/>
  </r>
  <r>
    <s v="ORD3294"/>
    <x v="161"/>
    <x v="2"/>
    <x v="1"/>
    <n v="6824"/>
    <n v="10"/>
    <s v="Headphones"/>
    <s v="East"/>
    <n v="68240"/>
  </r>
  <r>
    <s v="ORD3296"/>
    <x v="170"/>
    <x v="3"/>
    <x v="2"/>
    <n v="8221"/>
    <n v="7"/>
    <s v="Phone"/>
    <s v="North"/>
    <n v="57547"/>
  </r>
  <r>
    <s v="ORD3297"/>
    <x v="82"/>
    <x v="0"/>
    <x v="3"/>
    <n v="27234"/>
    <n v="2"/>
    <s v="Laptop"/>
    <s v="South"/>
    <n v="54468"/>
  </r>
  <r>
    <s v="ORD3298"/>
    <x v="42"/>
    <x v="3"/>
    <x v="2"/>
    <n v="34546"/>
    <n v="10"/>
    <s v="Phone"/>
    <s v="North"/>
    <n v="345460"/>
  </r>
  <r>
    <s v="ORD3299"/>
    <x v="171"/>
    <x v="2"/>
    <x v="1"/>
    <n v="6754"/>
    <n v="4"/>
    <s v="Headphones"/>
    <s v="East"/>
    <n v="27016"/>
  </r>
  <r>
    <s v="ORD3300"/>
    <x v="172"/>
    <x v="1"/>
    <x v="0"/>
    <n v="18061"/>
    <n v="9"/>
    <s v="Monitor"/>
    <s v="West"/>
    <n v="162549"/>
  </r>
  <r>
    <s v="ORD3301"/>
    <x v="26"/>
    <x v="3"/>
    <x v="1"/>
    <n v="17893"/>
    <n v="3"/>
    <s v="Headphones"/>
    <s v="North"/>
    <n v="53679"/>
  </r>
  <r>
    <s v="ORD3302"/>
    <x v="173"/>
    <x v="0"/>
    <x v="2"/>
    <n v="35941"/>
    <n v="1"/>
    <s v="Phone"/>
    <s v="South"/>
    <n v="35941"/>
  </r>
  <r>
    <s v="ORD3303"/>
    <x v="136"/>
    <x v="2"/>
    <x v="0"/>
    <n v="34054"/>
    <n v="8"/>
    <s v="Monitor"/>
    <s v="East"/>
    <n v="272432"/>
  </r>
  <r>
    <s v="ORD3304"/>
    <x v="174"/>
    <x v="0"/>
    <x v="2"/>
    <n v="15610"/>
    <n v="2"/>
    <s v="Phone"/>
    <s v="South"/>
    <n v="31220"/>
  </r>
  <r>
    <s v="ORD3305"/>
    <x v="175"/>
    <x v="0"/>
    <x v="2"/>
    <n v="24562"/>
    <n v="10"/>
    <s v="Phone"/>
    <s v="South"/>
    <n v="245620"/>
  </r>
  <r>
    <s v="ORD3307"/>
    <x v="157"/>
    <x v="1"/>
    <x v="0"/>
    <n v="44574"/>
    <n v="7"/>
    <s v="Monitor"/>
    <s v="West"/>
    <n v="312018"/>
  </r>
  <r>
    <s v="ORD3308"/>
    <x v="149"/>
    <x v="0"/>
    <x v="3"/>
    <n v="44667"/>
    <n v="8"/>
    <s v="Laptop"/>
    <s v="South"/>
    <n v="357336"/>
  </r>
  <r>
    <s v="ORD3309"/>
    <x v="76"/>
    <x v="0"/>
    <x v="0"/>
    <n v="2359"/>
    <n v="1"/>
    <s v="Monitor"/>
    <s v="South"/>
    <n v="2359"/>
  </r>
  <r>
    <s v="ORD3311"/>
    <x v="176"/>
    <x v="2"/>
    <x v="4"/>
    <n v="43963"/>
    <n v="3"/>
    <s v="Tablet"/>
    <s v="East"/>
    <n v="131889"/>
  </r>
  <r>
    <s v="ORD3312"/>
    <x v="177"/>
    <x v="2"/>
    <x v="1"/>
    <n v="41589"/>
    <n v="3"/>
    <s v="Headphones"/>
    <s v="East"/>
    <n v="124767"/>
  </r>
  <r>
    <s v="ORD3313"/>
    <x v="178"/>
    <x v="1"/>
    <x v="3"/>
    <n v="42057"/>
    <n v="9"/>
    <s v="Laptop"/>
    <s v="West"/>
    <n v="378513"/>
  </r>
  <r>
    <s v="ORD3314"/>
    <x v="171"/>
    <x v="0"/>
    <x v="4"/>
    <n v="6246"/>
    <n v="10"/>
    <s v="Tablet"/>
    <s v="South"/>
    <n v="62460"/>
  </r>
  <r>
    <s v="ORD3315"/>
    <x v="92"/>
    <x v="3"/>
    <x v="2"/>
    <n v="18576"/>
    <n v="9"/>
    <s v="Phone"/>
    <s v="North"/>
    <n v="167184"/>
  </r>
  <r>
    <s v="ORD3316"/>
    <x v="179"/>
    <x v="1"/>
    <x v="0"/>
    <n v="47066"/>
    <n v="2"/>
    <s v="Monitor"/>
    <s v="West"/>
    <n v="94132"/>
  </r>
  <r>
    <s v="ORD3317"/>
    <x v="180"/>
    <x v="0"/>
    <x v="1"/>
    <n v="43898"/>
    <n v="4"/>
    <s v="Headphones"/>
    <s v="South"/>
    <n v="175592"/>
  </r>
  <r>
    <s v="ORD3318"/>
    <x v="181"/>
    <x v="2"/>
    <x v="1"/>
    <n v="10021"/>
    <n v="3"/>
    <s v="Headphones"/>
    <s v="East"/>
    <n v="30063"/>
  </r>
  <r>
    <s v="ORD3319"/>
    <x v="39"/>
    <x v="2"/>
    <x v="0"/>
    <n v="7684"/>
    <n v="1"/>
    <s v="Monitor"/>
    <s v="East"/>
    <n v="7684"/>
  </r>
  <r>
    <s v="ORD3320"/>
    <x v="182"/>
    <x v="3"/>
    <x v="0"/>
    <n v="9349"/>
    <n v="5"/>
    <s v="Monitor"/>
    <s v="North"/>
    <n v="46745"/>
  </r>
  <r>
    <s v="ORD3321"/>
    <x v="183"/>
    <x v="2"/>
    <x v="2"/>
    <n v="4159"/>
    <n v="1"/>
    <s v="Phone"/>
    <s v="East"/>
    <n v="4159"/>
  </r>
  <r>
    <s v="ORD3322"/>
    <x v="118"/>
    <x v="1"/>
    <x v="1"/>
    <n v="4892"/>
    <n v="4"/>
    <s v="Headphones"/>
    <s v="West"/>
    <n v="19568"/>
  </r>
  <r>
    <s v="ORD3323"/>
    <x v="184"/>
    <x v="3"/>
    <x v="2"/>
    <n v="38797"/>
    <n v="2"/>
    <s v="Phone"/>
    <s v="North"/>
    <n v="77594"/>
  </r>
  <r>
    <s v="ORD3324"/>
    <x v="129"/>
    <x v="1"/>
    <x v="0"/>
    <n v="15037"/>
    <n v="4"/>
    <s v="Monitor"/>
    <s v="West"/>
    <n v="60148"/>
  </r>
  <r>
    <s v="ORD3325"/>
    <x v="19"/>
    <x v="1"/>
    <x v="0"/>
    <n v="48536"/>
    <n v="8"/>
    <s v="Monitor"/>
    <s v="West"/>
    <n v="388288"/>
  </r>
  <r>
    <s v="ORD3327"/>
    <x v="125"/>
    <x v="3"/>
    <x v="1"/>
    <n v="11977"/>
    <n v="4"/>
    <s v="Headphones"/>
    <s v="North"/>
    <n v="47908"/>
  </r>
  <r>
    <s v="ORD3328"/>
    <x v="185"/>
    <x v="0"/>
    <x v="3"/>
    <n v="38943"/>
    <n v="5"/>
    <s v="Laptop"/>
    <s v="South"/>
    <n v="194715"/>
  </r>
  <r>
    <s v="ORD3329"/>
    <x v="186"/>
    <x v="2"/>
    <x v="4"/>
    <n v="13840"/>
    <n v="9"/>
    <s v="Tablet"/>
    <s v="East"/>
    <n v="124560"/>
  </r>
  <r>
    <s v="ORD3330"/>
    <x v="187"/>
    <x v="1"/>
    <x v="0"/>
    <n v="25966"/>
    <n v="6"/>
    <s v="Monitor"/>
    <s v="West"/>
    <n v="155796"/>
  </r>
  <r>
    <s v="ORD3331"/>
    <x v="188"/>
    <x v="1"/>
    <x v="0"/>
    <n v="7693"/>
    <n v="7"/>
    <s v="Monitor"/>
    <s v="West"/>
    <n v="53851"/>
  </r>
  <r>
    <s v="ORD3331"/>
    <x v="188"/>
    <x v="1"/>
    <x v="0"/>
    <n v="7693"/>
    <n v="7"/>
    <s v="Monitor"/>
    <s v="West"/>
    <n v="53851"/>
  </r>
  <r>
    <s v="ORD3332"/>
    <x v="189"/>
    <x v="1"/>
    <x v="3"/>
    <n v="7794"/>
    <n v="2"/>
    <s v="Laptop"/>
    <s v="West"/>
    <n v="15588"/>
  </r>
  <r>
    <s v="ORD3333"/>
    <x v="65"/>
    <x v="3"/>
    <x v="0"/>
    <n v="33451"/>
    <n v="1"/>
    <s v="Monitor"/>
    <s v="North"/>
    <n v="33451"/>
  </r>
  <r>
    <s v="ORD3334"/>
    <x v="42"/>
    <x v="0"/>
    <x v="2"/>
    <n v="11246"/>
    <n v="9"/>
    <s v="Phone"/>
    <s v="South"/>
    <n v="101214"/>
  </r>
  <r>
    <s v="ORD3335"/>
    <x v="59"/>
    <x v="3"/>
    <x v="4"/>
    <n v="33916"/>
    <n v="5"/>
    <s v="Tablet"/>
    <s v="North"/>
    <n v="169580"/>
  </r>
  <r>
    <s v="ORD3336"/>
    <x v="190"/>
    <x v="2"/>
    <x v="1"/>
    <n v="41966"/>
    <n v="1"/>
    <s v="Headphones"/>
    <s v="East"/>
    <n v="41966"/>
  </r>
  <r>
    <s v="ORD3337"/>
    <x v="150"/>
    <x v="3"/>
    <x v="3"/>
    <n v="26552"/>
    <n v="8"/>
    <s v="Laptop"/>
    <s v="North"/>
    <n v="212416"/>
  </r>
  <r>
    <s v="ORD3338"/>
    <x v="191"/>
    <x v="1"/>
    <x v="2"/>
    <n v="42535"/>
    <n v="3"/>
    <s v="Phone"/>
    <s v="West"/>
    <n v="127605"/>
  </r>
  <r>
    <s v="ORD3339"/>
    <x v="34"/>
    <x v="2"/>
    <x v="0"/>
    <n v="179"/>
    <n v="2"/>
    <s v="Monitor"/>
    <s v="East"/>
    <n v="358"/>
  </r>
  <r>
    <s v="ORD3340"/>
    <x v="192"/>
    <x v="1"/>
    <x v="3"/>
    <n v="22833"/>
    <n v="9"/>
    <s v="Laptop"/>
    <s v="West"/>
    <n v="205497"/>
  </r>
  <r>
    <s v="ORD3341"/>
    <x v="193"/>
    <x v="1"/>
    <x v="3"/>
    <n v="25122"/>
    <n v="5"/>
    <s v="Laptop"/>
    <s v="West"/>
    <n v="125610"/>
  </r>
  <r>
    <s v="ORD3342"/>
    <x v="156"/>
    <x v="0"/>
    <x v="3"/>
    <n v="626"/>
    <n v="5"/>
    <s v="Laptop"/>
    <s v="South"/>
    <n v="3130"/>
  </r>
  <r>
    <s v="ORD3342"/>
    <x v="156"/>
    <x v="0"/>
    <x v="3"/>
    <n v="626"/>
    <n v="5"/>
    <s v="Laptop"/>
    <s v="South"/>
    <n v="3130"/>
  </r>
  <r>
    <s v="ORD3343"/>
    <x v="194"/>
    <x v="1"/>
    <x v="4"/>
    <n v="43659"/>
    <n v="10"/>
    <s v="Tablet"/>
    <s v="West"/>
    <n v="436590"/>
  </r>
  <r>
    <s v="ORD3344"/>
    <x v="195"/>
    <x v="3"/>
    <x v="3"/>
    <n v="30717"/>
    <n v="5"/>
    <s v="Laptop"/>
    <s v="North"/>
    <n v="153585"/>
  </r>
  <r>
    <s v="ORD3346"/>
    <x v="196"/>
    <x v="3"/>
    <x v="3"/>
    <n v="32306"/>
    <n v="8"/>
    <s v="Laptop"/>
    <s v="North"/>
    <n v="258448"/>
  </r>
  <r>
    <s v="ORD3347"/>
    <x v="115"/>
    <x v="2"/>
    <x v="1"/>
    <n v="41561"/>
    <n v="9"/>
    <s v="Headphones"/>
    <s v="East"/>
    <n v="374049"/>
  </r>
  <r>
    <s v="ORD3348"/>
    <x v="197"/>
    <x v="1"/>
    <x v="3"/>
    <n v="4709"/>
    <n v="8"/>
    <s v="Laptop"/>
    <s v="West"/>
    <n v="37672"/>
  </r>
  <r>
    <s v="ORD3349"/>
    <x v="198"/>
    <x v="1"/>
    <x v="4"/>
    <n v="1771"/>
    <n v="10"/>
    <s v="Tablet"/>
    <s v="West"/>
    <n v="17710"/>
  </r>
  <r>
    <s v="ORD3350"/>
    <x v="93"/>
    <x v="0"/>
    <x v="3"/>
    <n v="8228"/>
    <n v="3"/>
    <s v="Laptop"/>
    <s v="South"/>
    <n v="24684"/>
  </r>
  <r>
    <s v="ORD3351"/>
    <x v="199"/>
    <x v="3"/>
    <x v="1"/>
    <n v="10870"/>
    <n v="6"/>
    <s v="Headphones"/>
    <s v="North"/>
    <n v="65220"/>
  </r>
  <r>
    <s v="ORD3352"/>
    <x v="200"/>
    <x v="1"/>
    <x v="2"/>
    <n v="13680"/>
    <n v="1"/>
    <s v="Phone"/>
    <s v="West"/>
    <n v="13680"/>
  </r>
  <r>
    <s v="ORD3353"/>
    <x v="201"/>
    <x v="2"/>
    <x v="1"/>
    <n v="23226"/>
    <n v="10"/>
    <s v="Headphones"/>
    <s v="East"/>
    <n v="232260"/>
  </r>
  <r>
    <s v="ORD3354"/>
    <x v="152"/>
    <x v="3"/>
    <x v="2"/>
    <n v="34470"/>
    <n v="1"/>
    <s v="Phone"/>
    <s v="North"/>
    <n v="34470"/>
  </r>
  <r>
    <s v="ORD3355"/>
    <x v="202"/>
    <x v="2"/>
    <x v="1"/>
    <n v="16372"/>
    <n v="5"/>
    <s v="Headphones"/>
    <s v="East"/>
    <n v="81860"/>
  </r>
  <r>
    <s v="ORD3357"/>
    <x v="52"/>
    <x v="0"/>
    <x v="2"/>
    <n v="28531"/>
    <n v="2"/>
    <s v="Phone"/>
    <s v="South"/>
    <n v="57062"/>
  </r>
  <r>
    <s v="ORD3357"/>
    <x v="52"/>
    <x v="0"/>
    <x v="2"/>
    <n v="28531"/>
    <n v="2"/>
    <s v="Phone"/>
    <s v="South"/>
    <n v="57062"/>
  </r>
  <r>
    <s v="ORD3358"/>
    <x v="144"/>
    <x v="0"/>
    <x v="0"/>
    <n v="42281"/>
    <n v="4"/>
    <s v="Monitor"/>
    <s v="South"/>
    <n v="169124"/>
  </r>
  <r>
    <s v="ORD3360"/>
    <x v="203"/>
    <x v="1"/>
    <x v="4"/>
    <n v="3057"/>
    <n v="9"/>
    <s v="Tablet"/>
    <s v="West"/>
    <n v="27513"/>
  </r>
  <r>
    <s v="ORD3361"/>
    <x v="6"/>
    <x v="3"/>
    <x v="3"/>
    <n v="15795"/>
    <n v="5"/>
    <s v="Laptop"/>
    <s v="North"/>
    <n v="78975"/>
  </r>
  <r>
    <s v="ORD3362"/>
    <x v="56"/>
    <x v="2"/>
    <x v="0"/>
    <n v="22559"/>
    <n v="2"/>
    <s v="Monitor"/>
    <s v="East"/>
    <n v="45118"/>
  </r>
  <r>
    <s v="ORD3363"/>
    <x v="204"/>
    <x v="0"/>
    <x v="3"/>
    <n v="41710"/>
    <n v="5"/>
    <s v="Laptop"/>
    <s v="South"/>
    <n v="208550"/>
  </r>
  <r>
    <s v="ORD3364"/>
    <x v="74"/>
    <x v="0"/>
    <x v="1"/>
    <n v="33027"/>
    <n v="6"/>
    <s v="Headphones"/>
    <s v="South"/>
    <n v="198162"/>
  </r>
  <r>
    <s v="ORD3366"/>
    <x v="125"/>
    <x v="3"/>
    <x v="1"/>
    <n v="49711"/>
    <n v="4"/>
    <s v="Headphones"/>
    <s v="North"/>
    <n v="198844"/>
  </r>
  <r>
    <s v="ORD3368"/>
    <x v="205"/>
    <x v="1"/>
    <x v="1"/>
    <n v="28355"/>
    <n v="8"/>
    <s v="Headphones"/>
    <s v="West"/>
    <n v="226840"/>
  </r>
  <r>
    <s v="ORD3370"/>
    <x v="54"/>
    <x v="2"/>
    <x v="1"/>
    <n v="44306"/>
    <n v="3"/>
    <s v="Headphones"/>
    <s v="East"/>
    <n v="132918"/>
  </r>
  <r>
    <s v="ORD3371"/>
    <x v="30"/>
    <x v="2"/>
    <x v="2"/>
    <n v="33812"/>
    <n v="3"/>
    <s v="Phone"/>
    <s v="East"/>
    <n v="101436"/>
  </r>
  <r>
    <s v="ORD3372"/>
    <x v="65"/>
    <x v="0"/>
    <x v="1"/>
    <n v="27914"/>
    <n v="2"/>
    <s v="Headphones"/>
    <s v="South"/>
    <n v="55828"/>
  </r>
  <r>
    <s v="ORD3372"/>
    <x v="65"/>
    <x v="0"/>
    <x v="1"/>
    <n v="27914"/>
    <n v="2"/>
    <s v="Headphones"/>
    <s v="South"/>
    <n v="55828"/>
  </r>
  <r>
    <s v="ORD3373"/>
    <x v="206"/>
    <x v="3"/>
    <x v="4"/>
    <n v="16469"/>
    <n v="2"/>
    <s v="Tablet"/>
    <s v="North"/>
    <n v="32938"/>
  </r>
  <r>
    <s v="ORD3374"/>
    <x v="207"/>
    <x v="2"/>
    <x v="1"/>
    <n v="21343"/>
    <n v="6"/>
    <s v="Headphones"/>
    <s v="East"/>
    <n v="128058"/>
  </r>
  <r>
    <s v="ORD3375"/>
    <x v="47"/>
    <x v="0"/>
    <x v="0"/>
    <n v="7477"/>
    <n v="6"/>
    <s v="Monitor"/>
    <s v="South"/>
    <n v="44862"/>
  </r>
  <r>
    <s v="ORD3376"/>
    <x v="30"/>
    <x v="2"/>
    <x v="3"/>
    <n v="2996"/>
    <n v="7"/>
    <s v="Laptop"/>
    <s v="East"/>
    <n v="20972"/>
  </r>
  <r>
    <s v="ORD3378"/>
    <x v="208"/>
    <x v="2"/>
    <x v="1"/>
    <n v="45531"/>
    <n v="9"/>
    <s v="Headphones"/>
    <s v="East"/>
    <n v="409779"/>
  </r>
  <r>
    <s v="ORD3379"/>
    <x v="209"/>
    <x v="2"/>
    <x v="3"/>
    <n v="12135"/>
    <n v="9"/>
    <s v="Laptop"/>
    <s v="East"/>
    <n v="109215"/>
  </r>
  <r>
    <s v="ORD3381"/>
    <x v="80"/>
    <x v="1"/>
    <x v="4"/>
    <n v="25542"/>
    <n v="7"/>
    <s v="Tablet"/>
    <s v="West"/>
    <n v="178794"/>
  </r>
  <r>
    <s v="ORD3382"/>
    <x v="210"/>
    <x v="1"/>
    <x v="0"/>
    <n v="9740"/>
    <n v="3"/>
    <s v="Monitor"/>
    <s v="West"/>
    <n v="29220"/>
  </r>
  <r>
    <s v="ORD3383"/>
    <x v="211"/>
    <x v="3"/>
    <x v="1"/>
    <n v="4731"/>
    <n v="9"/>
    <s v="Headphones"/>
    <s v="North"/>
    <n v="42579"/>
  </r>
  <r>
    <s v="ORD3385"/>
    <x v="203"/>
    <x v="3"/>
    <x v="4"/>
    <n v="12187"/>
    <n v="4"/>
    <s v="Tablet"/>
    <s v="North"/>
    <n v="48748"/>
  </r>
  <r>
    <s v="ORD3386"/>
    <x v="85"/>
    <x v="3"/>
    <x v="0"/>
    <n v="12999"/>
    <n v="7"/>
    <s v="Monitor"/>
    <s v="North"/>
    <n v="90993"/>
  </r>
  <r>
    <s v="ORD3387"/>
    <x v="212"/>
    <x v="0"/>
    <x v="2"/>
    <n v="37397"/>
    <n v="6"/>
    <s v="Phone"/>
    <s v="South"/>
    <n v="224382"/>
  </r>
  <r>
    <s v="ORD3389"/>
    <x v="179"/>
    <x v="0"/>
    <x v="0"/>
    <n v="16163"/>
    <n v="6"/>
    <s v="Monitor"/>
    <s v="South"/>
    <n v="96978"/>
  </r>
  <r>
    <s v="ORD3391"/>
    <x v="72"/>
    <x v="2"/>
    <x v="0"/>
    <n v="14449"/>
    <n v="4"/>
    <s v="Monitor"/>
    <s v="East"/>
    <n v="57796"/>
  </r>
  <r>
    <s v="ORD3392"/>
    <x v="34"/>
    <x v="0"/>
    <x v="4"/>
    <n v="10158"/>
    <n v="2"/>
    <s v="Tablet"/>
    <s v="South"/>
    <n v="20316"/>
  </r>
  <r>
    <s v="ORD3393"/>
    <x v="213"/>
    <x v="1"/>
    <x v="0"/>
    <n v="16764"/>
    <n v="4"/>
    <s v="Monitor"/>
    <s v="West"/>
    <n v="67056"/>
  </r>
  <r>
    <s v="ORD3394"/>
    <x v="95"/>
    <x v="1"/>
    <x v="2"/>
    <n v="19026"/>
    <n v="8"/>
    <s v="Phone"/>
    <s v="West"/>
    <n v="152208"/>
  </r>
  <r>
    <s v="ORD3395"/>
    <x v="139"/>
    <x v="1"/>
    <x v="2"/>
    <n v="20338"/>
    <n v="3"/>
    <s v="Phone"/>
    <s v="West"/>
    <n v="61014"/>
  </r>
  <r>
    <s v="ORD3396"/>
    <x v="214"/>
    <x v="0"/>
    <x v="0"/>
    <n v="9937"/>
    <n v="2"/>
    <s v="Monitor"/>
    <s v="South"/>
    <n v="19874"/>
  </r>
  <r>
    <s v="ORD3398"/>
    <x v="109"/>
    <x v="2"/>
    <x v="4"/>
    <n v="48932"/>
    <n v="4"/>
    <s v="Tablet"/>
    <s v="East"/>
    <n v="195728"/>
  </r>
  <r>
    <s v="ORD3399"/>
    <x v="215"/>
    <x v="1"/>
    <x v="3"/>
    <n v="48134"/>
    <n v="1"/>
    <s v="Laptop"/>
    <s v="West"/>
    <n v="48134"/>
  </r>
  <r>
    <s v="ORD3400"/>
    <x v="77"/>
    <x v="3"/>
    <x v="0"/>
    <n v="18275"/>
    <n v="1"/>
    <s v="Monitor"/>
    <s v="North"/>
    <n v="18275"/>
  </r>
  <r>
    <s v="ORD3401"/>
    <x v="92"/>
    <x v="0"/>
    <x v="3"/>
    <n v="16891"/>
    <n v="6"/>
    <s v="Laptop"/>
    <s v="South"/>
    <n v="101346"/>
  </r>
  <r>
    <s v="ORD3402"/>
    <x v="172"/>
    <x v="1"/>
    <x v="4"/>
    <n v="37521"/>
    <n v="2"/>
    <s v="Tablet"/>
    <s v="West"/>
    <n v="75042"/>
  </r>
  <r>
    <s v="ORD3403"/>
    <x v="87"/>
    <x v="1"/>
    <x v="1"/>
    <n v="36818"/>
    <n v="4"/>
    <s v="Headphones"/>
    <s v="West"/>
    <n v="147272"/>
  </r>
  <r>
    <s v="ORD3404"/>
    <x v="14"/>
    <x v="2"/>
    <x v="0"/>
    <n v="26547"/>
    <n v="7"/>
    <s v="Monitor"/>
    <s v="East"/>
    <n v="185829"/>
  </r>
  <r>
    <s v="ORD3405"/>
    <x v="19"/>
    <x v="2"/>
    <x v="2"/>
    <n v="19349"/>
    <n v="9"/>
    <s v="Phone"/>
    <s v="East"/>
    <n v="174141"/>
  </r>
  <r>
    <s v="ORD3406"/>
    <x v="52"/>
    <x v="0"/>
    <x v="1"/>
    <n v="15153"/>
    <n v="10"/>
    <s v="Headphones"/>
    <s v="South"/>
    <n v="151530"/>
  </r>
  <r>
    <s v="ORD3407"/>
    <x v="106"/>
    <x v="1"/>
    <x v="0"/>
    <n v="38186"/>
    <n v="4"/>
    <s v="Monitor"/>
    <s v="West"/>
    <n v="152744"/>
  </r>
  <r>
    <s v="ORD3408"/>
    <x v="216"/>
    <x v="3"/>
    <x v="0"/>
    <n v="34996"/>
    <n v="3"/>
    <s v="Monitor"/>
    <s v="North"/>
    <n v="104988"/>
  </r>
  <r>
    <s v="ORD3409"/>
    <x v="209"/>
    <x v="0"/>
    <x v="2"/>
    <n v="14196"/>
    <n v="3"/>
    <s v="Phone"/>
    <s v="South"/>
    <n v="42588"/>
  </r>
  <r>
    <s v="ORD3410"/>
    <x v="217"/>
    <x v="0"/>
    <x v="4"/>
    <n v="37490"/>
    <n v="1"/>
    <s v="Tablet"/>
    <s v="South"/>
    <n v="37490"/>
  </r>
  <r>
    <s v="ORD3411"/>
    <x v="218"/>
    <x v="1"/>
    <x v="1"/>
    <n v="4923"/>
    <n v="9"/>
    <s v="Headphones"/>
    <s v="West"/>
    <n v="44307"/>
  </r>
  <r>
    <s v="ORD3412"/>
    <x v="219"/>
    <x v="1"/>
    <x v="2"/>
    <n v="11331"/>
    <n v="1"/>
    <s v="Phone"/>
    <s v="West"/>
    <n v="11331"/>
  </r>
  <r>
    <s v="ORD3413"/>
    <x v="220"/>
    <x v="0"/>
    <x v="0"/>
    <n v="16928"/>
    <n v="10"/>
    <s v="Monitor"/>
    <s v="South"/>
    <n v="169280"/>
  </r>
  <r>
    <s v="ORD3414"/>
    <x v="20"/>
    <x v="0"/>
    <x v="1"/>
    <n v="32701"/>
    <n v="5"/>
    <s v="Headphones"/>
    <s v="South"/>
    <n v="163505"/>
  </r>
  <r>
    <s v="ORD3415"/>
    <x v="221"/>
    <x v="2"/>
    <x v="1"/>
    <n v="34901"/>
    <n v="6"/>
    <s v="Headphones"/>
    <s v="East"/>
    <n v="209406"/>
  </r>
  <r>
    <s v="ORD3416"/>
    <x v="222"/>
    <x v="2"/>
    <x v="2"/>
    <n v="30877"/>
    <n v="5"/>
    <s v="Phone"/>
    <s v="East"/>
    <n v="154385"/>
  </r>
  <r>
    <s v="ORD3417"/>
    <x v="223"/>
    <x v="3"/>
    <x v="4"/>
    <n v="42749"/>
    <n v="4"/>
    <s v="Tablet"/>
    <s v="North"/>
    <n v="170996"/>
  </r>
  <r>
    <s v="ORD3418"/>
    <x v="150"/>
    <x v="1"/>
    <x v="3"/>
    <n v="22815"/>
    <n v="1"/>
    <s v="Laptop"/>
    <s v="West"/>
    <n v="22815"/>
  </r>
  <r>
    <s v="ORD3419"/>
    <x v="192"/>
    <x v="2"/>
    <x v="4"/>
    <n v="21712"/>
    <n v="10"/>
    <s v="Tablet"/>
    <s v="East"/>
    <n v="217120"/>
  </r>
  <r>
    <s v="ORD3420"/>
    <x v="224"/>
    <x v="0"/>
    <x v="4"/>
    <n v="428"/>
    <n v="10"/>
    <s v="Tablet"/>
    <s v="South"/>
    <n v="4280"/>
  </r>
  <r>
    <s v="ORD3421"/>
    <x v="225"/>
    <x v="3"/>
    <x v="2"/>
    <n v="5998"/>
    <n v="4"/>
    <s v="Phone"/>
    <s v="North"/>
    <n v="23992"/>
  </r>
  <r>
    <s v="ORD3422"/>
    <x v="69"/>
    <x v="3"/>
    <x v="0"/>
    <n v="47380"/>
    <n v="7"/>
    <s v="Monitor"/>
    <s v="North"/>
    <n v="331660"/>
  </r>
  <r>
    <s v="ORD3423"/>
    <x v="13"/>
    <x v="3"/>
    <x v="3"/>
    <n v="49065"/>
    <n v="3"/>
    <s v="Laptop"/>
    <s v="North"/>
    <n v="147195"/>
  </r>
  <r>
    <s v="ORD3425"/>
    <x v="226"/>
    <x v="1"/>
    <x v="2"/>
    <n v="35455"/>
    <n v="8"/>
    <s v="Phone"/>
    <s v="West"/>
    <n v="283640"/>
  </r>
  <r>
    <s v="ORD3426"/>
    <x v="115"/>
    <x v="1"/>
    <x v="1"/>
    <n v="46151"/>
    <n v="6"/>
    <s v="Headphones"/>
    <s v="West"/>
    <n v="276906"/>
  </r>
  <r>
    <s v="ORD3427"/>
    <x v="104"/>
    <x v="0"/>
    <x v="1"/>
    <n v="17232"/>
    <n v="2"/>
    <s v="Headphones"/>
    <s v="South"/>
    <n v="34464"/>
  </r>
  <r>
    <s v="ORD3428"/>
    <x v="210"/>
    <x v="1"/>
    <x v="0"/>
    <n v="25876"/>
    <n v="7"/>
    <s v="Monitor"/>
    <s v="West"/>
    <n v="181132"/>
  </r>
  <r>
    <s v="ORD3430"/>
    <x v="227"/>
    <x v="3"/>
    <x v="1"/>
    <n v="33307"/>
    <n v="4"/>
    <s v="Headphones"/>
    <s v="North"/>
    <n v="133228"/>
  </r>
  <r>
    <s v="ORD3431"/>
    <x v="89"/>
    <x v="0"/>
    <x v="4"/>
    <n v="14471"/>
    <n v="10"/>
    <s v="Tablet"/>
    <s v="South"/>
    <n v="144710"/>
  </r>
  <r>
    <s v="ORD3432"/>
    <x v="158"/>
    <x v="3"/>
    <x v="0"/>
    <n v="19854"/>
    <n v="8"/>
    <s v="Monitor"/>
    <s v="North"/>
    <n v="158832"/>
  </r>
  <r>
    <s v="ORD3433"/>
    <x v="19"/>
    <x v="1"/>
    <x v="0"/>
    <n v="45758"/>
    <n v="6"/>
    <s v="Monitor"/>
    <s v="West"/>
    <n v="274548"/>
  </r>
  <r>
    <s v="ORD3434"/>
    <x v="228"/>
    <x v="0"/>
    <x v="4"/>
    <n v="2355"/>
    <n v="2"/>
    <s v="Tablet"/>
    <s v="South"/>
    <n v="4710"/>
  </r>
  <r>
    <s v="ORD3435"/>
    <x v="229"/>
    <x v="0"/>
    <x v="4"/>
    <n v="23179"/>
    <n v="4"/>
    <s v="Tablet"/>
    <s v="South"/>
    <n v="92716"/>
  </r>
  <r>
    <s v="ORD3436"/>
    <x v="168"/>
    <x v="0"/>
    <x v="0"/>
    <n v="29727"/>
    <n v="9"/>
    <s v="Monitor"/>
    <s v="South"/>
    <n v="267543"/>
  </r>
  <r>
    <s v="ORD3437"/>
    <x v="230"/>
    <x v="1"/>
    <x v="0"/>
    <n v="18058"/>
    <n v="8"/>
    <s v="Monitor"/>
    <s v="West"/>
    <n v="144464"/>
  </r>
  <r>
    <s v="ORD3439"/>
    <x v="70"/>
    <x v="2"/>
    <x v="2"/>
    <n v="26344"/>
    <n v="5"/>
    <s v="Phone"/>
    <s v="East"/>
    <n v="131720"/>
  </r>
  <r>
    <s v="ORD3441"/>
    <x v="176"/>
    <x v="1"/>
    <x v="1"/>
    <n v="28231"/>
    <n v="2"/>
    <s v="Headphones"/>
    <s v="West"/>
    <n v="56462"/>
  </r>
  <r>
    <s v="ORD3442"/>
    <x v="118"/>
    <x v="2"/>
    <x v="4"/>
    <n v="47753"/>
    <n v="6"/>
    <s v="Tablet"/>
    <s v="East"/>
    <n v="286518"/>
  </r>
  <r>
    <s v="ORD3443"/>
    <x v="139"/>
    <x v="0"/>
    <x v="0"/>
    <n v="25963"/>
    <n v="5"/>
    <s v="Monitor"/>
    <s v="South"/>
    <n v="129815"/>
  </r>
  <r>
    <s v="ORD3444"/>
    <x v="231"/>
    <x v="3"/>
    <x v="2"/>
    <n v="564"/>
    <n v="3"/>
    <s v="Phone"/>
    <s v="North"/>
    <n v="1692"/>
  </r>
  <r>
    <s v="ORD3445"/>
    <x v="201"/>
    <x v="0"/>
    <x v="0"/>
    <n v="38948"/>
    <n v="5"/>
    <s v="Monitor"/>
    <s v="South"/>
    <n v="194740"/>
  </r>
  <r>
    <s v="ORD3446"/>
    <x v="232"/>
    <x v="1"/>
    <x v="2"/>
    <n v="29656"/>
    <n v="4"/>
    <s v="Phone"/>
    <s v="West"/>
    <n v="118624"/>
  </r>
  <r>
    <s v="ORD3447"/>
    <x v="138"/>
    <x v="2"/>
    <x v="0"/>
    <n v="12333"/>
    <n v="5"/>
    <s v="Monitor"/>
    <s v="East"/>
    <n v="61665"/>
  </r>
  <r>
    <s v="ORD3447"/>
    <x v="138"/>
    <x v="2"/>
    <x v="0"/>
    <n v="12333"/>
    <n v="5"/>
    <s v="Monitor"/>
    <s v="East"/>
    <n v="61665"/>
  </r>
  <r>
    <s v="ORD3448"/>
    <x v="233"/>
    <x v="1"/>
    <x v="3"/>
    <n v="32972"/>
    <n v="9"/>
    <s v="Laptop"/>
    <s v="West"/>
    <n v="296748"/>
  </r>
  <r>
    <s v="ORD3449"/>
    <x v="234"/>
    <x v="3"/>
    <x v="3"/>
    <n v="2231"/>
    <n v="6"/>
    <s v="Laptop"/>
    <s v="North"/>
    <n v="13386"/>
  </r>
  <r>
    <s v="ORD3450"/>
    <x v="66"/>
    <x v="1"/>
    <x v="0"/>
    <n v="3459"/>
    <n v="9"/>
    <s v="Monitor"/>
    <s v="West"/>
    <n v="31131"/>
  </r>
  <r>
    <s v="ORD3451"/>
    <x v="235"/>
    <x v="2"/>
    <x v="0"/>
    <n v="8640"/>
    <n v="4"/>
    <s v="Monitor"/>
    <s v="East"/>
    <n v="34560"/>
  </r>
  <r>
    <s v="ORD3452"/>
    <x v="83"/>
    <x v="1"/>
    <x v="0"/>
    <n v="22429"/>
    <n v="9"/>
    <s v="Monitor"/>
    <s v="West"/>
    <n v="201861"/>
  </r>
  <r>
    <s v="ORD3453"/>
    <x v="29"/>
    <x v="0"/>
    <x v="4"/>
    <n v="32267"/>
    <n v="1"/>
    <s v="Tablet"/>
    <s v="South"/>
    <n v="32267"/>
  </r>
  <r>
    <s v="ORD3455"/>
    <x v="236"/>
    <x v="2"/>
    <x v="4"/>
    <n v="42701"/>
    <n v="6"/>
    <s v="Tablet"/>
    <s v="East"/>
    <n v="256206"/>
  </r>
  <r>
    <s v="ORD3456"/>
    <x v="237"/>
    <x v="0"/>
    <x v="3"/>
    <n v="2562"/>
    <n v="5"/>
    <s v="Laptop"/>
    <s v="South"/>
    <n v="12810"/>
  </r>
  <r>
    <s v="ORD3457"/>
    <x v="238"/>
    <x v="2"/>
    <x v="0"/>
    <n v="12649"/>
    <n v="6"/>
    <s v="Monitor"/>
    <s v="East"/>
    <n v="75894"/>
  </r>
  <r>
    <s v="ORD3458"/>
    <x v="63"/>
    <x v="2"/>
    <x v="3"/>
    <n v="14439"/>
    <n v="9"/>
    <s v="Laptop"/>
    <s v="East"/>
    <n v="129951"/>
  </r>
  <r>
    <s v="ORD3459"/>
    <x v="40"/>
    <x v="0"/>
    <x v="4"/>
    <n v="29841"/>
    <n v="7"/>
    <s v="Tablet"/>
    <s v="South"/>
    <n v="208887"/>
  </r>
  <r>
    <s v="ORD3460"/>
    <x v="46"/>
    <x v="0"/>
    <x v="2"/>
    <n v="42447"/>
    <n v="4"/>
    <s v="Phone"/>
    <s v="South"/>
    <n v="169788"/>
  </r>
  <r>
    <s v="ORD3461"/>
    <x v="24"/>
    <x v="3"/>
    <x v="3"/>
    <n v="14559"/>
    <n v="10"/>
    <s v="Laptop"/>
    <s v="North"/>
    <n v="145590"/>
  </r>
  <r>
    <s v="ORD3462"/>
    <x v="75"/>
    <x v="1"/>
    <x v="3"/>
    <n v="16845"/>
    <n v="2"/>
    <s v="Laptop"/>
    <s v="West"/>
    <n v="33690"/>
  </r>
  <r>
    <s v="ORD3463"/>
    <x v="239"/>
    <x v="3"/>
    <x v="3"/>
    <n v="11930"/>
    <n v="7"/>
    <s v="Laptop"/>
    <s v="North"/>
    <n v="83510"/>
  </r>
  <r>
    <s v="ORD3464"/>
    <x v="234"/>
    <x v="1"/>
    <x v="4"/>
    <n v="26811"/>
    <n v="6"/>
    <s v="Tablet"/>
    <s v="West"/>
    <n v="160866"/>
  </r>
  <r>
    <s v="ORD3465"/>
    <x v="37"/>
    <x v="0"/>
    <x v="3"/>
    <n v="5849"/>
    <n v="6"/>
    <s v="Laptop"/>
    <s v="South"/>
    <n v="35094"/>
  </r>
  <r>
    <s v="ORD3467"/>
    <x v="52"/>
    <x v="3"/>
    <x v="0"/>
    <n v="48114"/>
    <n v="3"/>
    <s v="Monitor"/>
    <s v="North"/>
    <n v="144342"/>
  </r>
  <r>
    <s v="ORD3469"/>
    <x v="240"/>
    <x v="0"/>
    <x v="1"/>
    <n v="26068"/>
    <n v="7"/>
    <s v="Headphones"/>
    <s v="South"/>
    <n v="182476"/>
  </r>
  <r>
    <s v="ORD3470"/>
    <x v="19"/>
    <x v="0"/>
    <x v="3"/>
    <n v="16393"/>
    <n v="3"/>
    <s v="Laptop"/>
    <s v="South"/>
    <n v="49179"/>
  </r>
  <r>
    <s v="ORD3472"/>
    <x v="227"/>
    <x v="2"/>
    <x v="3"/>
    <n v="19823"/>
    <n v="7"/>
    <s v="Laptop"/>
    <s v="East"/>
    <n v="138761"/>
  </r>
  <r>
    <s v="ORD3473"/>
    <x v="195"/>
    <x v="1"/>
    <x v="3"/>
    <n v="46089"/>
    <n v="6"/>
    <s v="Laptop"/>
    <s v="West"/>
    <n v="276534"/>
  </r>
  <r>
    <s v="ORD3474"/>
    <x v="4"/>
    <x v="0"/>
    <x v="2"/>
    <n v="26896"/>
    <n v="6"/>
    <s v="Phone"/>
    <s v="South"/>
    <n v="161376"/>
  </r>
  <r>
    <s v="ORD3475"/>
    <x v="162"/>
    <x v="3"/>
    <x v="2"/>
    <n v="42589"/>
    <n v="1"/>
    <s v="Phone"/>
    <s v="North"/>
    <n v="42589"/>
  </r>
  <r>
    <s v="ORD3476"/>
    <x v="122"/>
    <x v="2"/>
    <x v="3"/>
    <n v="11289"/>
    <n v="6"/>
    <s v="Laptop"/>
    <s v="East"/>
    <n v="67734"/>
  </r>
  <r>
    <s v="ORD3477"/>
    <x v="241"/>
    <x v="2"/>
    <x v="0"/>
    <n v="17995"/>
    <n v="5"/>
    <s v="Monitor"/>
    <s v="East"/>
    <n v="89975"/>
  </r>
  <r>
    <s v="ORD3478"/>
    <x v="103"/>
    <x v="1"/>
    <x v="4"/>
    <n v="2783"/>
    <n v="8"/>
    <s v="Tablet"/>
    <s v="West"/>
    <n v="22264"/>
  </r>
  <r>
    <s v="ORD3479"/>
    <x v="242"/>
    <x v="2"/>
    <x v="1"/>
    <n v="23358"/>
    <n v="3"/>
    <s v="Headphones"/>
    <s v="East"/>
    <n v="70074"/>
  </r>
  <r>
    <s v="ORD3480"/>
    <x v="181"/>
    <x v="2"/>
    <x v="4"/>
    <n v="48352"/>
    <n v="2"/>
    <s v="Tablet"/>
    <s v="East"/>
    <n v="96704"/>
  </r>
  <r>
    <s v="ORD3481"/>
    <x v="243"/>
    <x v="3"/>
    <x v="0"/>
    <n v="22742"/>
    <n v="5"/>
    <s v="Monitor"/>
    <s v="North"/>
    <n v="113710"/>
  </r>
  <r>
    <s v="ORD3482"/>
    <x v="116"/>
    <x v="1"/>
    <x v="3"/>
    <n v="18751"/>
    <n v="6"/>
    <s v="Laptop"/>
    <s v="West"/>
    <n v="112506"/>
  </r>
  <r>
    <s v="ORD3483"/>
    <x v="153"/>
    <x v="3"/>
    <x v="4"/>
    <n v="21997"/>
    <n v="6"/>
    <s v="Tablet"/>
    <s v="North"/>
    <n v="131982"/>
  </r>
  <r>
    <s v="ORD3485"/>
    <x v="28"/>
    <x v="2"/>
    <x v="2"/>
    <n v="8205"/>
    <n v="1"/>
    <s v="Phone"/>
    <s v="East"/>
    <n v="8205"/>
  </r>
  <r>
    <s v="ORD3489"/>
    <x v="70"/>
    <x v="3"/>
    <x v="2"/>
    <n v="5948"/>
    <n v="4"/>
    <s v="Phone"/>
    <s v="North"/>
    <n v="23792"/>
  </r>
  <r>
    <s v="ORD3490"/>
    <x v="77"/>
    <x v="1"/>
    <x v="4"/>
    <n v="19391"/>
    <n v="10"/>
    <s v="Tablet"/>
    <s v="West"/>
    <n v="193910"/>
  </r>
  <r>
    <s v="ORD3491"/>
    <x v="187"/>
    <x v="3"/>
    <x v="1"/>
    <n v="21042"/>
    <n v="6"/>
    <s v="Headphones"/>
    <s v="North"/>
    <n v="126252"/>
  </r>
  <r>
    <s v="ORD3492"/>
    <x v="244"/>
    <x v="0"/>
    <x v="1"/>
    <n v="27330"/>
    <n v="5"/>
    <s v="Headphones"/>
    <s v="South"/>
    <n v="136650"/>
  </r>
  <r>
    <s v="ORD3493"/>
    <x v="87"/>
    <x v="2"/>
    <x v="3"/>
    <n v="25590"/>
    <n v="8"/>
    <s v="Laptop"/>
    <s v="East"/>
    <n v="204720"/>
  </r>
  <r>
    <s v="ORD3495"/>
    <x v="112"/>
    <x v="0"/>
    <x v="0"/>
    <n v="28331"/>
    <n v="9"/>
    <s v="Monitor"/>
    <s v="South"/>
    <n v="254979"/>
  </r>
  <r>
    <s v="ORD3497"/>
    <x v="216"/>
    <x v="0"/>
    <x v="4"/>
    <n v="25448"/>
    <n v="10"/>
    <s v="Tablet"/>
    <s v="South"/>
    <n v="254480"/>
  </r>
  <r>
    <s v="ORD3498"/>
    <x v="93"/>
    <x v="1"/>
    <x v="3"/>
    <n v="2292"/>
    <n v="10"/>
    <s v="Laptop"/>
    <s v="West"/>
    <n v="22920"/>
  </r>
  <r>
    <s v="ORD3499"/>
    <x v="245"/>
    <x v="2"/>
    <x v="4"/>
    <n v="41054"/>
    <n v="4"/>
    <s v="Tablet"/>
    <s v="East"/>
    <n v="164216"/>
  </r>
  <r>
    <s v="ORD3500"/>
    <x v="211"/>
    <x v="1"/>
    <x v="4"/>
    <n v="14219"/>
    <n v="7"/>
    <s v="Tablet"/>
    <s v="West"/>
    <n v="99533"/>
  </r>
  <r>
    <s v="ORD3501"/>
    <x v="217"/>
    <x v="2"/>
    <x v="0"/>
    <n v="3827"/>
    <n v="8"/>
    <s v="Monitor"/>
    <s v="East"/>
    <n v="30616"/>
  </r>
  <r>
    <s v="ORD3503"/>
    <x v="246"/>
    <x v="0"/>
    <x v="0"/>
    <n v="6586"/>
    <n v="5"/>
    <s v="Monitor"/>
    <s v="South"/>
    <n v="32930"/>
  </r>
  <r>
    <s v="ORD3504"/>
    <x v="237"/>
    <x v="2"/>
    <x v="3"/>
    <n v="32384"/>
    <n v="4"/>
    <s v="Laptop"/>
    <s v="East"/>
    <n v="129536"/>
  </r>
  <r>
    <s v="ORD3505"/>
    <x v="247"/>
    <x v="3"/>
    <x v="2"/>
    <n v="1286"/>
    <n v="4"/>
    <s v="Phone"/>
    <s v="North"/>
    <n v="5144"/>
  </r>
  <r>
    <s v="ORD3506"/>
    <x v="204"/>
    <x v="0"/>
    <x v="2"/>
    <n v="41819"/>
    <n v="1"/>
    <s v="Phone"/>
    <s v="South"/>
    <n v="41819"/>
  </r>
  <r>
    <s v="ORD3507"/>
    <x v="182"/>
    <x v="0"/>
    <x v="3"/>
    <n v="25343"/>
    <n v="7"/>
    <s v="Laptop"/>
    <s v="South"/>
    <n v="177401"/>
  </r>
  <r>
    <s v="ORD3508"/>
    <x v="183"/>
    <x v="0"/>
    <x v="2"/>
    <n v="8878"/>
    <n v="6"/>
    <s v="Phone"/>
    <s v="South"/>
    <n v="53268"/>
  </r>
  <r>
    <s v="ORD3508"/>
    <x v="183"/>
    <x v="0"/>
    <x v="2"/>
    <n v="8878"/>
    <n v="6"/>
    <s v="Phone"/>
    <s v="South"/>
    <n v="53268"/>
  </r>
  <r>
    <s v="ORD3509"/>
    <x v="145"/>
    <x v="1"/>
    <x v="0"/>
    <n v="5385"/>
    <n v="10"/>
    <s v="Monitor"/>
    <s v="West"/>
    <n v="53850"/>
  </r>
  <r>
    <s v="ORD3511"/>
    <x v="248"/>
    <x v="3"/>
    <x v="0"/>
    <n v="3602"/>
    <n v="8"/>
    <s v="Monitor"/>
    <s v="North"/>
    <n v="28816"/>
  </r>
  <r>
    <s v="ORD3512"/>
    <x v="83"/>
    <x v="0"/>
    <x v="3"/>
    <n v="45077"/>
    <n v="7"/>
    <s v="Laptop"/>
    <s v="South"/>
    <n v="315539"/>
  </r>
  <r>
    <s v="ORD3513"/>
    <x v="249"/>
    <x v="3"/>
    <x v="2"/>
    <n v="10138"/>
    <n v="9"/>
    <s v="Phone"/>
    <s v="North"/>
    <n v="91242"/>
  </r>
  <r>
    <s v="ORD3515"/>
    <x v="250"/>
    <x v="0"/>
    <x v="3"/>
    <n v="42727"/>
    <n v="9"/>
    <s v="Laptop"/>
    <s v="South"/>
    <n v="384543"/>
  </r>
  <r>
    <s v="ORD3517"/>
    <x v="162"/>
    <x v="0"/>
    <x v="3"/>
    <n v="6650"/>
    <n v="3"/>
    <s v="Laptop"/>
    <s v="South"/>
    <n v="19950"/>
  </r>
  <r>
    <s v="ORD3518"/>
    <x v="147"/>
    <x v="1"/>
    <x v="2"/>
    <n v="13086"/>
    <n v="5"/>
    <s v="Phone"/>
    <s v="West"/>
    <n v="65430"/>
  </r>
  <r>
    <s v="ORD3519"/>
    <x v="251"/>
    <x v="2"/>
    <x v="2"/>
    <n v="6885"/>
    <n v="9"/>
    <s v="Phone"/>
    <s v="East"/>
    <n v="61965"/>
  </r>
  <r>
    <s v="ORD3520"/>
    <x v="76"/>
    <x v="3"/>
    <x v="1"/>
    <n v="31950"/>
    <n v="1"/>
    <s v="Headphones"/>
    <s v="North"/>
    <n v="31950"/>
  </r>
  <r>
    <s v="ORD3521"/>
    <x v="51"/>
    <x v="2"/>
    <x v="2"/>
    <n v="22262"/>
    <n v="9"/>
    <s v="Phone"/>
    <s v="East"/>
    <n v="200358"/>
  </r>
  <r>
    <s v="ORD3522"/>
    <x v="24"/>
    <x v="2"/>
    <x v="4"/>
    <n v="41114"/>
    <n v="8"/>
    <s v="Tablet"/>
    <s v="East"/>
    <n v="328912"/>
  </r>
  <r>
    <s v="ORD3523"/>
    <x v="38"/>
    <x v="3"/>
    <x v="3"/>
    <n v="45149"/>
    <n v="5"/>
    <s v="Laptop"/>
    <s v="North"/>
    <n v="225745"/>
  </r>
  <r>
    <s v="ORD3524"/>
    <x v="22"/>
    <x v="0"/>
    <x v="4"/>
    <n v="13076"/>
    <n v="1"/>
    <s v="Tablet"/>
    <s v="South"/>
    <n v="13076"/>
  </r>
  <r>
    <s v="ORD3525"/>
    <x v="207"/>
    <x v="3"/>
    <x v="2"/>
    <n v="17761"/>
    <n v="6"/>
    <s v="Phone"/>
    <s v="North"/>
    <n v="106566"/>
  </r>
  <r>
    <s v="ORD3526"/>
    <x v="217"/>
    <x v="1"/>
    <x v="1"/>
    <n v="38672"/>
    <n v="1"/>
    <s v="Headphones"/>
    <s v="West"/>
    <n v="38672"/>
  </r>
  <r>
    <s v="ORD3527"/>
    <x v="49"/>
    <x v="2"/>
    <x v="1"/>
    <n v="35920"/>
    <n v="5"/>
    <s v="Headphones"/>
    <s v="East"/>
    <n v="179600"/>
  </r>
  <r>
    <s v="ORD3528"/>
    <x v="252"/>
    <x v="3"/>
    <x v="1"/>
    <n v="22303"/>
    <n v="5"/>
    <s v="Headphones"/>
    <s v="North"/>
    <n v="111515"/>
  </r>
  <r>
    <s v="ORD3529"/>
    <x v="253"/>
    <x v="2"/>
    <x v="0"/>
    <n v="9653"/>
    <n v="4"/>
    <s v="Monitor"/>
    <s v="East"/>
    <n v="38612"/>
  </r>
  <r>
    <s v="ORD3530"/>
    <x v="97"/>
    <x v="3"/>
    <x v="0"/>
    <n v="18250"/>
    <n v="8"/>
    <s v="Monitor"/>
    <s v="North"/>
    <n v="146000"/>
  </r>
  <r>
    <s v="ORD3531"/>
    <x v="126"/>
    <x v="3"/>
    <x v="2"/>
    <n v="30995"/>
    <n v="10"/>
    <s v="Phone"/>
    <s v="North"/>
    <n v="309950"/>
  </r>
  <r>
    <s v="ORD3532"/>
    <x v="254"/>
    <x v="1"/>
    <x v="0"/>
    <n v="23931"/>
    <n v="5"/>
    <s v="Monitor"/>
    <s v="West"/>
    <n v="119655"/>
  </r>
  <r>
    <s v="ORD3535"/>
    <x v="61"/>
    <x v="3"/>
    <x v="2"/>
    <n v="12534"/>
    <n v="8"/>
    <s v="Phone"/>
    <s v="North"/>
    <n v="100272"/>
  </r>
  <r>
    <s v="ORD3536"/>
    <x v="170"/>
    <x v="3"/>
    <x v="1"/>
    <n v="2322"/>
    <n v="4"/>
    <s v="Headphones"/>
    <s v="North"/>
    <n v="9288"/>
  </r>
  <r>
    <s v="ORD3537"/>
    <x v="255"/>
    <x v="1"/>
    <x v="2"/>
    <n v="4117"/>
    <n v="6"/>
    <s v="Phone"/>
    <s v="West"/>
    <n v="24702"/>
  </r>
  <r>
    <s v="ORD3538"/>
    <x v="132"/>
    <x v="2"/>
    <x v="2"/>
    <n v="20432"/>
    <n v="8"/>
    <s v="Phone"/>
    <s v="East"/>
    <n v="163456"/>
  </r>
  <r>
    <s v="ORD3539"/>
    <x v="25"/>
    <x v="3"/>
    <x v="1"/>
    <n v="39919"/>
    <n v="3"/>
    <s v="Headphones"/>
    <s v="North"/>
    <n v="119757"/>
  </r>
  <r>
    <s v="ORD3539"/>
    <x v="25"/>
    <x v="3"/>
    <x v="1"/>
    <n v="39919"/>
    <n v="3"/>
    <s v="Headphones"/>
    <s v="North"/>
    <n v="119757"/>
  </r>
  <r>
    <s v="ORD3540"/>
    <x v="256"/>
    <x v="1"/>
    <x v="0"/>
    <n v="30873"/>
    <n v="8"/>
    <s v="Monitor"/>
    <s v="West"/>
    <n v="246984"/>
  </r>
  <r>
    <s v="ORD3542"/>
    <x v="83"/>
    <x v="1"/>
    <x v="0"/>
    <n v="30359"/>
    <n v="7"/>
    <s v="Monitor"/>
    <s v="West"/>
    <n v="212513"/>
  </r>
  <r>
    <s v="ORD3542"/>
    <x v="83"/>
    <x v="1"/>
    <x v="0"/>
    <n v="30359"/>
    <n v="7"/>
    <s v="Monitor"/>
    <s v="West"/>
    <n v="212513"/>
  </r>
  <r>
    <s v="ORD3543"/>
    <x v="199"/>
    <x v="0"/>
    <x v="2"/>
    <n v="2865"/>
    <n v="2"/>
    <s v="Phone"/>
    <s v="South"/>
    <n v="5730"/>
  </r>
  <r>
    <s v="ORD3544"/>
    <x v="257"/>
    <x v="3"/>
    <x v="3"/>
    <n v="12470"/>
    <n v="1"/>
    <s v="Laptop"/>
    <s v="North"/>
    <n v="12470"/>
  </r>
  <r>
    <s v="ORD3545"/>
    <x v="258"/>
    <x v="3"/>
    <x v="2"/>
    <n v="20880"/>
    <n v="3"/>
    <s v="Phone"/>
    <s v="North"/>
    <n v="62640"/>
  </r>
  <r>
    <s v="ORD3549"/>
    <x v="259"/>
    <x v="3"/>
    <x v="1"/>
    <n v="33363"/>
    <n v="7"/>
    <s v="Headphones"/>
    <s v="North"/>
    <n v="233541"/>
  </r>
  <r>
    <s v="ORD3550"/>
    <x v="162"/>
    <x v="3"/>
    <x v="2"/>
    <n v="17930"/>
    <n v="3"/>
    <s v="Phone"/>
    <s v="North"/>
    <n v="53790"/>
  </r>
  <r>
    <s v="ORD3552"/>
    <x v="260"/>
    <x v="0"/>
    <x v="4"/>
    <n v="22131"/>
    <n v="4"/>
    <s v="Tablet"/>
    <s v="South"/>
    <n v="88524"/>
  </r>
  <r>
    <s v="ORD3553"/>
    <x v="132"/>
    <x v="1"/>
    <x v="1"/>
    <n v="38308"/>
    <n v="9"/>
    <s v="Headphones"/>
    <s v="West"/>
    <n v="344772"/>
  </r>
  <r>
    <s v="ORD3554"/>
    <x v="193"/>
    <x v="2"/>
    <x v="3"/>
    <n v="13750"/>
    <n v="5"/>
    <s v="Laptop"/>
    <s v="East"/>
    <n v="68750"/>
  </r>
  <r>
    <s v="ORD3555"/>
    <x v="231"/>
    <x v="1"/>
    <x v="4"/>
    <n v="1156"/>
    <n v="6"/>
    <s v="Tablet"/>
    <s v="West"/>
    <n v="6936"/>
  </r>
  <r>
    <s v="ORD3556"/>
    <x v="261"/>
    <x v="3"/>
    <x v="0"/>
    <n v="27038"/>
    <n v="2"/>
    <s v="Monitor"/>
    <s v="North"/>
    <n v="54076"/>
  </r>
  <r>
    <s v="ORD3557"/>
    <x v="40"/>
    <x v="0"/>
    <x v="4"/>
    <n v="26668"/>
    <n v="7"/>
    <s v="Tablet"/>
    <s v="South"/>
    <n v="186676"/>
  </r>
  <r>
    <s v="ORD3561"/>
    <x v="247"/>
    <x v="3"/>
    <x v="0"/>
    <n v="5196"/>
    <n v="8"/>
    <s v="Monitor"/>
    <s v="North"/>
    <n v="41568"/>
  </r>
  <r>
    <s v="ORD3562"/>
    <x v="113"/>
    <x v="3"/>
    <x v="0"/>
    <n v="117"/>
    <n v="7"/>
    <s v="Monitor"/>
    <s v="North"/>
    <n v="819"/>
  </r>
  <r>
    <s v="ORD3563"/>
    <x v="30"/>
    <x v="2"/>
    <x v="1"/>
    <n v="14803"/>
    <n v="8"/>
    <s v="Headphones"/>
    <s v="East"/>
    <n v="118424"/>
  </r>
  <r>
    <s v="ORD3564"/>
    <x v="262"/>
    <x v="3"/>
    <x v="0"/>
    <n v="559"/>
    <n v="5"/>
    <s v="Monitor"/>
    <s v="North"/>
    <n v="2795"/>
  </r>
  <r>
    <s v="ORD3565"/>
    <x v="136"/>
    <x v="2"/>
    <x v="0"/>
    <n v="38491"/>
    <n v="4"/>
    <s v="Monitor"/>
    <s v="East"/>
    <n v="153964"/>
  </r>
  <r>
    <s v="ORD3566"/>
    <x v="263"/>
    <x v="0"/>
    <x v="3"/>
    <n v="8713"/>
    <n v="8"/>
    <s v="Laptop"/>
    <s v="South"/>
    <n v="69704"/>
  </r>
  <r>
    <s v="ORD3567"/>
    <x v="235"/>
    <x v="2"/>
    <x v="1"/>
    <n v="19016"/>
    <n v="9"/>
    <s v="Headphones"/>
    <s v="East"/>
    <n v="171144"/>
  </r>
  <r>
    <s v="ORD3568"/>
    <x v="259"/>
    <x v="0"/>
    <x v="1"/>
    <n v="27258"/>
    <n v="2"/>
    <s v="Headphones"/>
    <s v="South"/>
    <n v="54516"/>
  </r>
  <r>
    <s v="ORD3569"/>
    <x v="264"/>
    <x v="1"/>
    <x v="3"/>
    <n v="48849"/>
    <n v="8"/>
    <s v="Laptop"/>
    <s v="West"/>
    <n v="390792"/>
  </r>
  <r>
    <s v="ORD3570"/>
    <x v="265"/>
    <x v="2"/>
    <x v="3"/>
    <n v="40258"/>
    <n v="4"/>
    <s v="Laptop"/>
    <s v="East"/>
    <n v="161032"/>
  </r>
  <r>
    <s v="ORD3571"/>
    <x v="130"/>
    <x v="0"/>
    <x v="2"/>
    <n v="32214"/>
    <n v="7"/>
    <s v="Phone"/>
    <s v="South"/>
    <n v="225498"/>
  </r>
  <r>
    <s v="ORD3572"/>
    <x v="266"/>
    <x v="3"/>
    <x v="3"/>
    <n v="39886"/>
    <n v="5"/>
    <s v="Laptop"/>
    <s v="North"/>
    <n v="199430"/>
  </r>
  <r>
    <s v="ORD3573"/>
    <x v="267"/>
    <x v="1"/>
    <x v="2"/>
    <n v="45466"/>
    <n v="10"/>
    <s v="Phone"/>
    <s v="West"/>
    <n v="454660"/>
  </r>
  <r>
    <s v="ORD3574"/>
    <x v="53"/>
    <x v="0"/>
    <x v="0"/>
    <n v="20932"/>
    <n v="6"/>
    <s v="Monitor"/>
    <s v="South"/>
    <n v="125592"/>
  </r>
  <r>
    <s v="ORD3575"/>
    <x v="228"/>
    <x v="3"/>
    <x v="0"/>
    <n v="30274"/>
    <n v="8"/>
    <s v="Monitor"/>
    <s v="North"/>
    <n v="242192"/>
  </r>
  <r>
    <s v="ORD3576"/>
    <x v="61"/>
    <x v="2"/>
    <x v="4"/>
    <n v="35335"/>
    <n v="9"/>
    <s v="Tablet"/>
    <s v="East"/>
    <n v="318015"/>
  </r>
  <r>
    <s v="ORD3577"/>
    <x v="114"/>
    <x v="2"/>
    <x v="4"/>
    <n v="45722"/>
    <n v="1"/>
    <s v="Tablet"/>
    <s v="East"/>
    <n v="45722"/>
  </r>
  <r>
    <s v="ORD3578"/>
    <x v="268"/>
    <x v="1"/>
    <x v="0"/>
    <n v="48810"/>
    <n v="7"/>
    <s v="Monitor"/>
    <s v="West"/>
    <n v="341670"/>
  </r>
  <r>
    <s v="ORD3579"/>
    <x v="27"/>
    <x v="1"/>
    <x v="2"/>
    <n v="16553"/>
    <n v="4"/>
    <s v="Phone"/>
    <s v="West"/>
    <n v="66212"/>
  </r>
  <r>
    <s v="ORD3580"/>
    <x v="243"/>
    <x v="1"/>
    <x v="0"/>
    <n v="8547"/>
    <n v="1"/>
    <s v="Monitor"/>
    <s v="West"/>
    <n v="8547"/>
  </r>
  <r>
    <s v="ORD3583"/>
    <x v="145"/>
    <x v="3"/>
    <x v="3"/>
    <n v="37138"/>
    <n v="1"/>
    <s v="Laptop"/>
    <s v="North"/>
    <n v="37138"/>
  </r>
  <r>
    <s v="ORD3584"/>
    <x v="62"/>
    <x v="1"/>
    <x v="4"/>
    <n v="44610"/>
    <n v="6"/>
    <s v="Tablet"/>
    <s v="West"/>
    <n v="267660"/>
  </r>
  <r>
    <s v="ORD3585"/>
    <x v="192"/>
    <x v="1"/>
    <x v="2"/>
    <n v="20293"/>
    <n v="4"/>
    <s v="Phone"/>
    <s v="West"/>
    <n v="81172"/>
  </r>
  <r>
    <s v="ORD3587"/>
    <x v="170"/>
    <x v="0"/>
    <x v="1"/>
    <n v="24111"/>
    <n v="4"/>
    <s v="Headphones"/>
    <s v="South"/>
    <n v="96444"/>
  </r>
  <r>
    <s v="ORD3589"/>
    <x v="269"/>
    <x v="2"/>
    <x v="0"/>
    <n v="3638"/>
    <n v="6"/>
    <s v="Monitor"/>
    <s v="East"/>
    <n v="21828"/>
  </r>
  <r>
    <s v="ORD3590"/>
    <x v="258"/>
    <x v="2"/>
    <x v="1"/>
    <n v="27303"/>
    <n v="7"/>
    <s v="Headphones"/>
    <s v="East"/>
    <n v="191121"/>
  </r>
  <r>
    <s v="ORD3591"/>
    <x v="61"/>
    <x v="1"/>
    <x v="0"/>
    <n v="46054"/>
    <n v="10"/>
    <s v="Monitor"/>
    <s v="West"/>
    <n v="460540"/>
  </r>
  <r>
    <s v="ORD3592"/>
    <x v="145"/>
    <x v="2"/>
    <x v="1"/>
    <n v="43269"/>
    <n v="9"/>
    <s v="Headphones"/>
    <s v="East"/>
    <n v="389421"/>
  </r>
  <r>
    <s v="ORD3594"/>
    <x v="83"/>
    <x v="3"/>
    <x v="1"/>
    <n v="17618"/>
    <n v="8"/>
    <s v="Headphones"/>
    <s v="North"/>
    <n v="140944"/>
  </r>
  <r>
    <s v="ORD3595"/>
    <x v="8"/>
    <x v="3"/>
    <x v="1"/>
    <n v="9033"/>
    <n v="2"/>
    <s v="Headphones"/>
    <s v="North"/>
    <n v="18066"/>
  </r>
  <r>
    <s v="ORD3596"/>
    <x v="70"/>
    <x v="2"/>
    <x v="4"/>
    <n v="21214"/>
    <n v="1"/>
    <s v="Tablet"/>
    <s v="East"/>
    <n v="21214"/>
  </r>
  <r>
    <s v="ORD3597"/>
    <x v="229"/>
    <x v="1"/>
    <x v="2"/>
    <n v="45069"/>
    <n v="3"/>
    <s v="Phone"/>
    <s v="West"/>
    <n v="135207"/>
  </r>
  <r>
    <s v="ORD3598"/>
    <x v="228"/>
    <x v="1"/>
    <x v="4"/>
    <n v="14334"/>
    <n v="4"/>
    <s v="Tablet"/>
    <s v="West"/>
    <n v="57336"/>
  </r>
  <r>
    <s v="ORD3599"/>
    <x v="158"/>
    <x v="0"/>
    <x v="3"/>
    <n v="45965"/>
    <n v="6"/>
    <s v="Laptop"/>
    <s v="South"/>
    <n v="275790"/>
  </r>
  <r>
    <s v="ORD3600"/>
    <x v="270"/>
    <x v="2"/>
    <x v="4"/>
    <n v="19510"/>
    <n v="4"/>
    <s v="Tablet"/>
    <s v="East"/>
    <n v="78040"/>
  </r>
  <r>
    <s v="ORD3602"/>
    <x v="182"/>
    <x v="1"/>
    <x v="1"/>
    <n v="20032"/>
    <n v="4"/>
    <s v="Headphones"/>
    <s v="West"/>
    <n v="80128"/>
  </r>
  <r>
    <s v="ORD3603"/>
    <x v="118"/>
    <x v="1"/>
    <x v="2"/>
    <n v="15326"/>
    <n v="10"/>
    <s v="Phone"/>
    <s v="West"/>
    <n v="153260"/>
  </r>
  <r>
    <s v="ORD3604"/>
    <x v="271"/>
    <x v="2"/>
    <x v="3"/>
    <n v="36934"/>
    <n v="5"/>
    <s v="Laptop"/>
    <s v="East"/>
    <n v="184670"/>
  </r>
  <r>
    <s v="ORD3605"/>
    <x v="138"/>
    <x v="2"/>
    <x v="4"/>
    <n v="27996"/>
    <n v="7"/>
    <s v="Tablet"/>
    <s v="East"/>
    <n v="195972"/>
  </r>
  <r>
    <s v="ORD3607"/>
    <x v="119"/>
    <x v="2"/>
    <x v="0"/>
    <n v="46208"/>
    <n v="1"/>
    <s v="Monitor"/>
    <s v="East"/>
    <n v="46208"/>
  </r>
  <r>
    <s v="ORD3608"/>
    <x v="76"/>
    <x v="0"/>
    <x v="0"/>
    <n v="20474"/>
    <n v="8"/>
    <s v="Monitor"/>
    <s v="South"/>
    <n v="163792"/>
  </r>
  <r>
    <s v="ORD3609"/>
    <x v="265"/>
    <x v="0"/>
    <x v="2"/>
    <n v="25598"/>
    <n v="7"/>
    <s v="Phone"/>
    <s v="South"/>
    <n v="179186"/>
  </r>
  <r>
    <s v="ORD3610"/>
    <x v="272"/>
    <x v="3"/>
    <x v="4"/>
    <n v="47501"/>
    <n v="10"/>
    <s v="Tablet"/>
    <s v="North"/>
    <n v="475010"/>
  </r>
  <r>
    <s v="ORD3611"/>
    <x v="98"/>
    <x v="0"/>
    <x v="4"/>
    <n v="24486"/>
    <n v="5"/>
    <s v="Tablet"/>
    <s v="South"/>
    <n v="122430"/>
  </r>
  <r>
    <s v="ORD3612"/>
    <x v="160"/>
    <x v="1"/>
    <x v="4"/>
    <n v="375"/>
    <n v="1"/>
    <s v="Tablet"/>
    <s v="West"/>
    <n v="375"/>
  </r>
  <r>
    <s v="ORD3616"/>
    <x v="71"/>
    <x v="2"/>
    <x v="1"/>
    <n v="45451"/>
    <n v="8"/>
    <s v="Headphones"/>
    <s v="East"/>
    <n v="363608"/>
  </r>
  <r>
    <s v="ORD3617"/>
    <x v="203"/>
    <x v="1"/>
    <x v="2"/>
    <n v="21252"/>
    <n v="8"/>
    <s v="Phone"/>
    <s v="West"/>
    <n v="170016"/>
  </r>
  <r>
    <s v="ORD3618"/>
    <x v="17"/>
    <x v="0"/>
    <x v="2"/>
    <n v="21690"/>
    <n v="5"/>
    <s v="Phone"/>
    <s v="South"/>
    <n v="108450"/>
  </r>
  <r>
    <s v="ORD3619"/>
    <x v="29"/>
    <x v="0"/>
    <x v="3"/>
    <n v="26533"/>
    <n v="8"/>
    <s v="Laptop"/>
    <s v="South"/>
    <n v="212264"/>
  </r>
  <r>
    <s v="ORD3620"/>
    <x v="79"/>
    <x v="3"/>
    <x v="1"/>
    <n v="44055"/>
    <n v="2"/>
    <s v="Headphones"/>
    <s v="North"/>
    <n v="88110"/>
  </r>
  <r>
    <s v="ORD3623"/>
    <x v="243"/>
    <x v="1"/>
    <x v="3"/>
    <n v="8814"/>
    <n v="10"/>
    <s v="Laptop"/>
    <s v="West"/>
    <n v="88140"/>
  </r>
  <r>
    <s v="ORD3624"/>
    <x v="219"/>
    <x v="3"/>
    <x v="3"/>
    <n v="29894"/>
    <n v="7"/>
    <s v="Laptop"/>
    <s v="North"/>
    <n v="209258"/>
  </r>
  <r>
    <s v="ORD3625"/>
    <x v="266"/>
    <x v="0"/>
    <x v="1"/>
    <n v="1258"/>
    <n v="1"/>
    <s v="Headphones"/>
    <s v="South"/>
    <n v="1258"/>
  </r>
  <r>
    <s v="ORD3626"/>
    <x v="273"/>
    <x v="1"/>
    <x v="1"/>
    <n v="12841"/>
    <n v="1"/>
    <s v="Headphones"/>
    <s v="West"/>
    <n v="12841"/>
  </r>
  <r>
    <s v="ORD3627"/>
    <x v="210"/>
    <x v="3"/>
    <x v="1"/>
    <n v="36736"/>
    <n v="6"/>
    <s v="Headphones"/>
    <s v="North"/>
    <n v="220416"/>
  </r>
  <r>
    <s v="ORD3628"/>
    <x v="274"/>
    <x v="3"/>
    <x v="1"/>
    <n v="36391"/>
    <n v="8"/>
    <s v="Headphones"/>
    <s v="North"/>
    <n v="291128"/>
  </r>
  <r>
    <s v="ORD3629"/>
    <x v="275"/>
    <x v="1"/>
    <x v="3"/>
    <n v="33455"/>
    <n v="1"/>
    <s v="Laptop"/>
    <s v="West"/>
    <n v="33455"/>
  </r>
  <r>
    <s v="ORD3630"/>
    <x v="258"/>
    <x v="1"/>
    <x v="3"/>
    <n v="15839"/>
    <n v="6"/>
    <s v="Laptop"/>
    <s v="West"/>
    <n v="95034"/>
  </r>
  <r>
    <s v="ORD3635"/>
    <x v="276"/>
    <x v="0"/>
    <x v="3"/>
    <n v="10959"/>
    <n v="9"/>
    <s v="Laptop"/>
    <s v="South"/>
    <n v="98631"/>
  </r>
  <r>
    <s v="ORD3636"/>
    <x v="172"/>
    <x v="1"/>
    <x v="3"/>
    <n v="6420"/>
    <n v="1"/>
    <s v="Laptop"/>
    <s v="West"/>
    <n v="6420"/>
  </r>
  <r>
    <s v="ORD3638"/>
    <x v="197"/>
    <x v="3"/>
    <x v="4"/>
    <n v="20881"/>
    <n v="7"/>
    <s v="Tablet"/>
    <s v="North"/>
    <n v="146167"/>
  </r>
  <r>
    <s v="ORD3639"/>
    <x v="42"/>
    <x v="0"/>
    <x v="2"/>
    <n v="2348"/>
    <n v="1"/>
    <s v="Phone"/>
    <s v="South"/>
    <n v="2348"/>
  </r>
  <r>
    <s v="ORD3640"/>
    <x v="206"/>
    <x v="0"/>
    <x v="3"/>
    <n v="36956"/>
    <n v="5"/>
    <s v="Laptop"/>
    <s v="South"/>
    <n v="184780"/>
  </r>
  <r>
    <s v="ORD3641"/>
    <x v="42"/>
    <x v="2"/>
    <x v="4"/>
    <n v="21692"/>
    <n v="2"/>
    <s v="Tablet"/>
    <s v="East"/>
    <n v="43384"/>
  </r>
  <r>
    <s v="ORD3641"/>
    <x v="42"/>
    <x v="2"/>
    <x v="4"/>
    <n v="21692"/>
    <n v="2"/>
    <s v="Tablet"/>
    <s v="East"/>
    <n v="43384"/>
  </r>
  <r>
    <s v="ORD3642"/>
    <x v="277"/>
    <x v="1"/>
    <x v="0"/>
    <n v="31175"/>
    <n v="5"/>
    <s v="Monitor"/>
    <s v="West"/>
    <n v="155875"/>
  </r>
  <r>
    <s v="ORD3643"/>
    <x v="278"/>
    <x v="1"/>
    <x v="0"/>
    <n v="19322"/>
    <n v="5"/>
    <s v="Monitor"/>
    <s v="West"/>
    <n v="96610"/>
  </r>
  <r>
    <s v="ORD3644"/>
    <x v="268"/>
    <x v="1"/>
    <x v="0"/>
    <n v="42688"/>
    <n v="10"/>
    <s v="Monitor"/>
    <s v="West"/>
    <n v="426880"/>
  </r>
  <r>
    <s v="ORD3646"/>
    <x v="279"/>
    <x v="1"/>
    <x v="0"/>
    <n v="37890"/>
    <n v="2"/>
    <s v="Monitor"/>
    <s v="West"/>
    <n v="75780"/>
  </r>
  <r>
    <s v="ORD3647"/>
    <x v="69"/>
    <x v="2"/>
    <x v="2"/>
    <n v="1741"/>
    <n v="4"/>
    <s v="Phone"/>
    <s v="East"/>
    <n v="6964"/>
  </r>
  <r>
    <s v="ORD3648"/>
    <x v="254"/>
    <x v="1"/>
    <x v="4"/>
    <n v="46247"/>
    <n v="9"/>
    <s v="Tablet"/>
    <s v="West"/>
    <n v="416223"/>
  </r>
  <r>
    <s v="ORD3649"/>
    <x v="27"/>
    <x v="3"/>
    <x v="0"/>
    <n v="22472"/>
    <n v="7"/>
    <s v="Monitor"/>
    <s v="North"/>
    <n v="157304"/>
  </r>
  <r>
    <s v="ORD3650"/>
    <x v="6"/>
    <x v="3"/>
    <x v="2"/>
    <n v="31328"/>
    <n v="8"/>
    <s v="Phone"/>
    <s v="North"/>
    <n v="250624"/>
  </r>
  <r>
    <s v="ORD3651"/>
    <x v="280"/>
    <x v="2"/>
    <x v="1"/>
    <n v="8617"/>
    <n v="3"/>
    <s v="Headphones"/>
    <s v="East"/>
    <n v="25851"/>
  </r>
  <r>
    <s v="ORD3652"/>
    <x v="100"/>
    <x v="1"/>
    <x v="2"/>
    <n v="15267"/>
    <n v="5"/>
    <s v="Phone"/>
    <s v="West"/>
    <n v="76335"/>
  </r>
  <r>
    <s v="ORD3653"/>
    <x v="64"/>
    <x v="0"/>
    <x v="2"/>
    <n v="45371"/>
    <n v="4"/>
    <s v="Phone"/>
    <s v="South"/>
    <n v="181484"/>
  </r>
  <r>
    <s v="ORD3654"/>
    <x v="82"/>
    <x v="0"/>
    <x v="0"/>
    <n v="46359"/>
    <n v="9"/>
    <s v="Monitor"/>
    <s v="South"/>
    <n v="417231"/>
  </r>
  <r>
    <s v="ORD3655"/>
    <x v="9"/>
    <x v="0"/>
    <x v="2"/>
    <n v="21384"/>
    <n v="10"/>
    <s v="Phone"/>
    <s v="South"/>
    <n v="213840"/>
  </r>
  <r>
    <s v="ORD3656"/>
    <x v="171"/>
    <x v="0"/>
    <x v="3"/>
    <n v="37487"/>
    <n v="7"/>
    <s v="Laptop"/>
    <s v="South"/>
    <n v="262409"/>
  </r>
  <r>
    <s v="ORD3657"/>
    <x v="265"/>
    <x v="0"/>
    <x v="4"/>
    <n v="33856"/>
    <n v="8"/>
    <s v="Tablet"/>
    <s v="South"/>
    <n v="270848"/>
  </r>
  <r>
    <s v="ORD3658"/>
    <x v="227"/>
    <x v="2"/>
    <x v="4"/>
    <n v="24078"/>
    <n v="2"/>
    <s v="Tablet"/>
    <s v="East"/>
    <n v="48156"/>
  </r>
  <r>
    <s v="ORD3659"/>
    <x v="68"/>
    <x v="3"/>
    <x v="4"/>
    <n v="3078"/>
    <n v="7"/>
    <s v="Tablet"/>
    <s v="North"/>
    <n v="21546"/>
  </r>
  <r>
    <s v="ORD3661"/>
    <x v="281"/>
    <x v="2"/>
    <x v="1"/>
    <n v="2851"/>
    <n v="8"/>
    <s v="Headphones"/>
    <s v="East"/>
    <n v="22808"/>
  </r>
  <r>
    <s v="ORD3662"/>
    <x v="77"/>
    <x v="2"/>
    <x v="0"/>
    <n v="30281"/>
    <n v="3"/>
    <s v="Monitor"/>
    <s v="East"/>
    <n v="90843"/>
  </r>
  <r>
    <s v="ORD3663"/>
    <x v="47"/>
    <x v="3"/>
    <x v="3"/>
    <n v="17868"/>
    <n v="5"/>
    <s v="Laptop"/>
    <s v="North"/>
    <n v="89340"/>
  </r>
  <r>
    <s v="ORD3664"/>
    <x v="65"/>
    <x v="3"/>
    <x v="4"/>
    <n v="43984"/>
    <n v="4"/>
    <s v="Tablet"/>
    <s v="North"/>
    <n v="175936"/>
  </r>
  <r>
    <s v="ORD3665"/>
    <x v="259"/>
    <x v="0"/>
    <x v="0"/>
    <n v="11129"/>
    <n v="8"/>
    <s v="Monitor"/>
    <s v="South"/>
    <n v="89032"/>
  </r>
  <r>
    <s v="ORD3666"/>
    <x v="125"/>
    <x v="3"/>
    <x v="2"/>
    <n v="43156"/>
    <n v="5"/>
    <s v="Phone"/>
    <s v="North"/>
    <n v="215780"/>
  </r>
  <r>
    <s v="ORD3667"/>
    <x v="261"/>
    <x v="3"/>
    <x v="0"/>
    <n v="14530"/>
    <n v="5"/>
    <s v="Monitor"/>
    <s v="North"/>
    <n v="72650"/>
  </r>
  <r>
    <s v="ORD3668"/>
    <x v="239"/>
    <x v="2"/>
    <x v="3"/>
    <n v="49797"/>
    <n v="9"/>
    <s v="Laptop"/>
    <s v="East"/>
    <n v="448173"/>
  </r>
  <r>
    <s v="ORD3670"/>
    <x v="227"/>
    <x v="0"/>
    <x v="3"/>
    <n v="38321"/>
    <n v="6"/>
    <s v="Laptop"/>
    <s v="South"/>
    <n v="229926"/>
  </r>
  <r>
    <s v="ORD3671"/>
    <x v="243"/>
    <x v="2"/>
    <x v="4"/>
    <n v="23042"/>
    <n v="7"/>
    <s v="Tablet"/>
    <s v="East"/>
    <n v="161294"/>
  </r>
  <r>
    <s v="ORD3672"/>
    <x v="172"/>
    <x v="3"/>
    <x v="2"/>
    <n v="23606"/>
    <n v="8"/>
    <s v="Phone"/>
    <s v="North"/>
    <n v="188848"/>
  </r>
  <r>
    <s v="ORD3672"/>
    <x v="172"/>
    <x v="3"/>
    <x v="2"/>
    <n v="23606"/>
    <n v="8"/>
    <s v="Phone"/>
    <s v="North"/>
    <n v="188848"/>
  </r>
  <r>
    <s v="ORD3673"/>
    <x v="179"/>
    <x v="3"/>
    <x v="1"/>
    <n v="31522"/>
    <n v="2"/>
    <s v="Headphones"/>
    <s v="North"/>
    <n v="63044"/>
  </r>
  <r>
    <s v="ORD3674"/>
    <x v="105"/>
    <x v="2"/>
    <x v="1"/>
    <n v="17064"/>
    <n v="1"/>
    <s v="Headphones"/>
    <s v="East"/>
    <n v="17064"/>
  </r>
  <r>
    <s v="ORD3676"/>
    <x v="246"/>
    <x v="2"/>
    <x v="0"/>
    <n v="47258"/>
    <n v="3"/>
    <s v="Monitor"/>
    <s v="East"/>
    <n v="141774"/>
  </r>
  <r>
    <s v="ORD3677"/>
    <x v="282"/>
    <x v="2"/>
    <x v="1"/>
    <n v="34669"/>
    <n v="3"/>
    <s v="Headphones"/>
    <s v="East"/>
    <n v="104007"/>
  </r>
  <r>
    <s v="ORD3678"/>
    <x v="202"/>
    <x v="3"/>
    <x v="2"/>
    <n v="486"/>
    <n v="8"/>
    <s v="Phone"/>
    <s v="North"/>
    <n v="3888"/>
  </r>
  <r>
    <s v="ORD3680"/>
    <x v="283"/>
    <x v="0"/>
    <x v="1"/>
    <n v="20982"/>
    <n v="3"/>
    <s v="Headphones"/>
    <s v="South"/>
    <n v="62946"/>
  </r>
  <r>
    <s v="ORD3683"/>
    <x v="46"/>
    <x v="3"/>
    <x v="4"/>
    <n v="4129"/>
    <n v="6"/>
    <s v="Tablet"/>
    <s v="North"/>
    <n v="24774"/>
  </r>
  <r>
    <s v="ORD3684"/>
    <x v="284"/>
    <x v="3"/>
    <x v="0"/>
    <n v="25636"/>
    <n v="9"/>
    <s v="Monitor"/>
    <s v="North"/>
    <n v="230724"/>
  </r>
  <r>
    <s v="ORD3685"/>
    <x v="282"/>
    <x v="0"/>
    <x v="3"/>
    <n v="44677"/>
    <n v="4"/>
    <s v="Laptop"/>
    <s v="South"/>
    <n v="178708"/>
  </r>
  <r>
    <s v="ORD3686"/>
    <x v="203"/>
    <x v="2"/>
    <x v="2"/>
    <n v="34747"/>
    <n v="7"/>
    <s v="Phone"/>
    <s v="East"/>
    <n v="243229"/>
  </r>
  <r>
    <s v="ORD3687"/>
    <x v="255"/>
    <x v="3"/>
    <x v="1"/>
    <n v="9616"/>
    <n v="3"/>
    <s v="Headphones"/>
    <s v="North"/>
    <n v="28848"/>
  </r>
  <r>
    <s v="ORD3689"/>
    <x v="37"/>
    <x v="1"/>
    <x v="4"/>
    <n v="49527"/>
    <n v="4"/>
    <s v="Tablet"/>
    <s v="West"/>
    <n v="198108"/>
  </r>
  <r>
    <s v="ORD3690"/>
    <x v="285"/>
    <x v="2"/>
    <x v="4"/>
    <n v="28435"/>
    <n v="7"/>
    <s v="Tablet"/>
    <s v="East"/>
    <n v="199045"/>
  </r>
  <r>
    <s v="ORD3691"/>
    <x v="36"/>
    <x v="3"/>
    <x v="3"/>
    <n v="36749"/>
    <n v="10"/>
    <s v="Laptop"/>
    <s v="North"/>
    <n v="367490"/>
  </r>
  <r>
    <s v="ORD3693"/>
    <x v="0"/>
    <x v="3"/>
    <x v="0"/>
    <n v="9381"/>
    <n v="3"/>
    <s v="Monitor"/>
    <s v="North"/>
    <n v="28143"/>
  </r>
  <r>
    <s v="ORD3694"/>
    <x v="21"/>
    <x v="3"/>
    <x v="3"/>
    <n v="29313"/>
    <n v="9"/>
    <s v="Laptop"/>
    <s v="North"/>
    <n v="263817"/>
  </r>
  <r>
    <s v="ORD3696"/>
    <x v="286"/>
    <x v="1"/>
    <x v="1"/>
    <n v="3928"/>
    <n v="4"/>
    <s v="Headphones"/>
    <s v="West"/>
    <n v="15712"/>
  </r>
  <r>
    <s v="ORD3697"/>
    <x v="249"/>
    <x v="2"/>
    <x v="1"/>
    <n v="37813"/>
    <n v="3"/>
    <s v="Headphones"/>
    <s v="East"/>
    <n v="113439"/>
  </r>
  <r>
    <s v="ORD3698"/>
    <x v="167"/>
    <x v="1"/>
    <x v="4"/>
    <n v="23333"/>
    <n v="5"/>
    <s v="Tablet"/>
    <s v="West"/>
    <n v="116665"/>
  </r>
  <r>
    <s v="ORD3699"/>
    <x v="240"/>
    <x v="2"/>
    <x v="3"/>
    <n v="17896"/>
    <n v="6"/>
    <s v="Laptop"/>
    <s v="East"/>
    <n v="107376"/>
  </r>
  <r>
    <s v="ORD3700"/>
    <x v="167"/>
    <x v="1"/>
    <x v="2"/>
    <n v="45838"/>
    <n v="7"/>
    <s v="Phone"/>
    <s v="West"/>
    <n v="320866"/>
  </r>
  <r>
    <s v="ORD3701"/>
    <x v="203"/>
    <x v="1"/>
    <x v="4"/>
    <n v="40555"/>
    <n v="7"/>
    <s v="Tablet"/>
    <s v="West"/>
    <n v="283885"/>
  </r>
  <r>
    <s v="ORD3702"/>
    <x v="261"/>
    <x v="1"/>
    <x v="0"/>
    <n v="4980"/>
    <n v="7"/>
    <s v="Monitor"/>
    <s v="West"/>
    <n v="34860"/>
  </r>
  <r>
    <s v="ORD3703"/>
    <x v="70"/>
    <x v="3"/>
    <x v="1"/>
    <n v="15409"/>
    <n v="4"/>
    <s v="Headphones"/>
    <s v="North"/>
    <n v="61636"/>
  </r>
  <r>
    <s v="ORD3704"/>
    <x v="189"/>
    <x v="3"/>
    <x v="1"/>
    <n v="35039"/>
    <n v="10"/>
    <s v="Headphones"/>
    <s v="North"/>
    <n v="350390"/>
  </r>
  <r>
    <s v="ORD3705"/>
    <x v="248"/>
    <x v="1"/>
    <x v="3"/>
    <n v="27116"/>
    <n v="3"/>
    <s v="Laptop"/>
    <s v="West"/>
    <n v="81348"/>
  </r>
  <r>
    <s v="ORD3706"/>
    <x v="261"/>
    <x v="1"/>
    <x v="4"/>
    <n v="1944"/>
    <n v="2"/>
    <s v="Tablet"/>
    <s v="West"/>
    <n v="3888"/>
  </r>
  <r>
    <s v="ORD3708"/>
    <x v="210"/>
    <x v="0"/>
    <x v="0"/>
    <n v="44289"/>
    <n v="5"/>
    <s v="Monitor"/>
    <s v="South"/>
    <n v="221445"/>
  </r>
  <r>
    <s v="ORD3709"/>
    <x v="287"/>
    <x v="1"/>
    <x v="4"/>
    <n v="29052"/>
    <n v="2"/>
    <s v="Tablet"/>
    <s v="West"/>
    <n v="58104"/>
  </r>
  <r>
    <s v="ORD3710"/>
    <x v="241"/>
    <x v="3"/>
    <x v="0"/>
    <n v="48311"/>
    <n v="7"/>
    <s v="Monitor"/>
    <s v="North"/>
    <n v="338177"/>
  </r>
  <r>
    <s v="ORD3711"/>
    <x v="213"/>
    <x v="1"/>
    <x v="2"/>
    <n v="8771"/>
    <n v="7"/>
    <s v="Phone"/>
    <s v="West"/>
    <n v="61397"/>
  </r>
  <r>
    <s v="ORD3712"/>
    <x v="288"/>
    <x v="3"/>
    <x v="3"/>
    <n v="21341"/>
    <n v="2"/>
    <s v="Laptop"/>
    <s v="North"/>
    <n v="42682"/>
  </r>
  <r>
    <s v="ORD3714"/>
    <x v="207"/>
    <x v="3"/>
    <x v="2"/>
    <n v="23586"/>
    <n v="9"/>
    <s v="Phone"/>
    <s v="North"/>
    <n v="212274"/>
  </r>
  <r>
    <s v="ORD3715"/>
    <x v="287"/>
    <x v="0"/>
    <x v="1"/>
    <n v="36986"/>
    <n v="9"/>
    <s v="Headphones"/>
    <s v="South"/>
    <n v="332874"/>
  </r>
  <r>
    <s v="ORD3717"/>
    <x v="121"/>
    <x v="0"/>
    <x v="2"/>
    <n v="47304"/>
    <n v="1"/>
    <s v="Phone"/>
    <s v="South"/>
    <n v="47304"/>
  </r>
  <r>
    <s v="ORD3718"/>
    <x v="242"/>
    <x v="0"/>
    <x v="1"/>
    <n v="15889"/>
    <n v="8"/>
    <s v="Headphones"/>
    <s v="South"/>
    <n v="127112"/>
  </r>
  <r>
    <s v="ORD3719"/>
    <x v="12"/>
    <x v="1"/>
    <x v="4"/>
    <n v="10429"/>
    <n v="8"/>
    <s v="Tablet"/>
    <s v="West"/>
    <n v="83432"/>
  </r>
  <r>
    <s v="ORD3720"/>
    <x v="289"/>
    <x v="0"/>
    <x v="4"/>
    <n v="13849"/>
    <n v="6"/>
    <s v="Tablet"/>
    <s v="South"/>
    <n v="83094"/>
  </r>
  <r>
    <s v="ORD3721"/>
    <x v="4"/>
    <x v="1"/>
    <x v="0"/>
    <n v="36090"/>
    <n v="1"/>
    <s v="Monitor"/>
    <s v="West"/>
    <n v="36090"/>
  </r>
  <r>
    <s v="ORD3722"/>
    <x v="290"/>
    <x v="3"/>
    <x v="0"/>
    <n v="43429"/>
    <n v="3"/>
    <s v="Monitor"/>
    <s v="North"/>
    <n v="130287"/>
  </r>
  <r>
    <s v="ORD3724"/>
    <x v="187"/>
    <x v="0"/>
    <x v="0"/>
    <n v="12430"/>
    <n v="9"/>
    <s v="Monitor"/>
    <s v="South"/>
    <n v="111870"/>
  </r>
  <r>
    <s v="ORD3725"/>
    <x v="118"/>
    <x v="1"/>
    <x v="0"/>
    <n v="30907"/>
    <n v="7"/>
    <s v="Monitor"/>
    <s v="West"/>
    <n v="216349"/>
  </r>
  <r>
    <s v="ORD3726"/>
    <x v="14"/>
    <x v="2"/>
    <x v="1"/>
    <n v="1972"/>
    <n v="5"/>
    <s v="Headphones"/>
    <s v="East"/>
    <n v="9860"/>
  </r>
  <r>
    <s v="ORD3729"/>
    <x v="291"/>
    <x v="0"/>
    <x v="0"/>
    <n v="21473"/>
    <n v="4"/>
    <s v="Monitor"/>
    <s v="South"/>
    <n v="85892"/>
  </r>
  <r>
    <s v="ORD3730"/>
    <x v="33"/>
    <x v="0"/>
    <x v="4"/>
    <n v="35499"/>
    <n v="3"/>
    <s v="Tablet"/>
    <s v="South"/>
    <n v="106497"/>
  </r>
  <r>
    <s v="ORD3731"/>
    <x v="292"/>
    <x v="1"/>
    <x v="2"/>
    <n v="45193"/>
    <n v="1"/>
    <s v="Phone"/>
    <s v="West"/>
    <n v="45193"/>
  </r>
  <r>
    <s v="ORD3732"/>
    <x v="258"/>
    <x v="3"/>
    <x v="2"/>
    <n v="4838"/>
    <n v="1"/>
    <s v="Phone"/>
    <s v="North"/>
    <n v="4838"/>
  </r>
  <r>
    <s v="ORD3733"/>
    <x v="206"/>
    <x v="3"/>
    <x v="4"/>
    <n v="28915"/>
    <n v="4"/>
    <s v="Tablet"/>
    <s v="North"/>
    <n v="115660"/>
  </r>
  <r>
    <s v="ORD3734"/>
    <x v="205"/>
    <x v="3"/>
    <x v="4"/>
    <n v="42870"/>
    <n v="4"/>
    <s v="Tablet"/>
    <s v="North"/>
    <n v="171480"/>
  </r>
  <r>
    <s v="ORD3735"/>
    <x v="231"/>
    <x v="3"/>
    <x v="4"/>
    <n v="26430"/>
    <n v="10"/>
    <s v="Tablet"/>
    <s v="North"/>
    <n v="264300"/>
  </r>
  <r>
    <s v="ORD3736"/>
    <x v="73"/>
    <x v="1"/>
    <x v="1"/>
    <n v="9357"/>
    <n v="2"/>
    <s v="Headphones"/>
    <s v="West"/>
    <n v="18714"/>
  </r>
  <r>
    <s v="ORD3737"/>
    <x v="166"/>
    <x v="3"/>
    <x v="4"/>
    <n v="25337"/>
    <n v="1"/>
    <s v="Tablet"/>
    <s v="North"/>
    <n v="25337"/>
  </r>
  <r>
    <s v="ORD3739"/>
    <x v="183"/>
    <x v="1"/>
    <x v="2"/>
    <n v="32828"/>
    <n v="6"/>
    <s v="Phone"/>
    <s v="West"/>
    <n v="196968"/>
  </r>
  <r>
    <s v="ORD3740"/>
    <x v="36"/>
    <x v="1"/>
    <x v="0"/>
    <n v="3156"/>
    <n v="2"/>
    <s v="Monitor"/>
    <s v="West"/>
    <n v="6312"/>
  </r>
  <r>
    <s v="ORD3741"/>
    <x v="266"/>
    <x v="3"/>
    <x v="1"/>
    <n v="41428"/>
    <n v="3"/>
    <s v="Headphones"/>
    <s v="North"/>
    <n v="124284"/>
  </r>
  <r>
    <s v="ORD3743"/>
    <x v="282"/>
    <x v="1"/>
    <x v="0"/>
    <n v="15416"/>
    <n v="3"/>
    <s v="Monitor"/>
    <s v="West"/>
    <n v="46248"/>
  </r>
  <r>
    <s v="ORD3744"/>
    <x v="57"/>
    <x v="3"/>
    <x v="3"/>
    <n v="35211"/>
    <n v="3"/>
    <s v="Laptop"/>
    <s v="North"/>
    <n v="105633"/>
  </r>
  <r>
    <s v="ORD3745"/>
    <x v="245"/>
    <x v="2"/>
    <x v="2"/>
    <n v="44768"/>
    <n v="2"/>
    <s v="Phone"/>
    <s v="East"/>
    <n v="89536"/>
  </r>
  <r>
    <s v="ORD3747"/>
    <x v="182"/>
    <x v="1"/>
    <x v="4"/>
    <n v="37078"/>
    <n v="1"/>
    <s v="Tablet"/>
    <s v="West"/>
    <n v="37078"/>
  </r>
  <r>
    <s v="ORD3749"/>
    <x v="275"/>
    <x v="0"/>
    <x v="4"/>
    <n v="49905"/>
    <n v="9"/>
    <s v="Tablet"/>
    <s v="South"/>
    <n v="449145"/>
  </r>
  <r>
    <s v="ORD3750"/>
    <x v="245"/>
    <x v="3"/>
    <x v="0"/>
    <n v="14248"/>
    <n v="6"/>
    <s v="Monitor"/>
    <s v="North"/>
    <n v="85488"/>
  </r>
  <r>
    <s v="ORD3751"/>
    <x v="146"/>
    <x v="0"/>
    <x v="4"/>
    <n v="37580"/>
    <n v="10"/>
    <s v="Tablet"/>
    <s v="South"/>
    <n v="375800"/>
  </r>
  <r>
    <s v="ORD3752"/>
    <x v="197"/>
    <x v="2"/>
    <x v="1"/>
    <n v="20405"/>
    <n v="6"/>
    <s v="Headphones"/>
    <s v="East"/>
    <n v="122430"/>
  </r>
  <r>
    <s v="ORD3753"/>
    <x v="293"/>
    <x v="3"/>
    <x v="2"/>
    <n v="47818"/>
    <n v="3"/>
    <s v="Phone"/>
    <s v="North"/>
    <n v="143454"/>
  </r>
  <r>
    <s v="ORD3754"/>
    <x v="224"/>
    <x v="1"/>
    <x v="4"/>
    <n v="5644"/>
    <n v="8"/>
    <s v="Tablet"/>
    <s v="West"/>
    <n v="45152"/>
  </r>
  <r>
    <s v="ORD3755"/>
    <x v="167"/>
    <x v="3"/>
    <x v="0"/>
    <n v="47564"/>
    <n v="1"/>
    <s v="Monitor"/>
    <s v="North"/>
    <n v="47564"/>
  </r>
  <r>
    <s v="ORD3756"/>
    <x v="106"/>
    <x v="1"/>
    <x v="2"/>
    <n v="26361"/>
    <n v="7"/>
    <s v="Phone"/>
    <s v="West"/>
    <n v="184527"/>
  </r>
  <r>
    <s v="ORD3757"/>
    <x v="3"/>
    <x v="0"/>
    <x v="1"/>
    <n v="23670"/>
    <n v="7"/>
    <s v="Headphones"/>
    <s v="South"/>
    <n v="165690"/>
  </r>
  <r>
    <s v="ORD3759"/>
    <x v="268"/>
    <x v="0"/>
    <x v="2"/>
    <n v="1274"/>
    <n v="6"/>
    <s v="Phone"/>
    <s v="South"/>
    <n v="7644"/>
  </r>
  <r>
    <s v="ORD3760"/>
    <x v="266"/>
    <x v="0"/>
    <x v="0"/>
    <n v="14332"/>
    <n v="5"/>
    <s v="Monitor"/>
    <s v="South"/>
    <n v="71660"/>
  </r>
  <r>
    <s v="ORD3761"/>
    <x v="82"/>
    <x v="1"/>
    <x v="3"/>
    <n v="12311"/>
    <n v="6"/>
    <s v="Laptop"/>
    <s v="West"/>
    <n v="73866"/>
  </r>
  <r>
    <s v="ORD3762"/>
    <x v="141"/>
    <x v="3"/>
    <x v="1"/>
    <n v="46358"/>
    <n v="4"/>
    <s v="Headphones"/>
    <s v="North"/>
    <n v="185432"/>
  </r>
  <r>
    <s v="ORD3763"/>
    <x v="162"/>
    <x v="1"/>
    <x v="3"/>
    <n v="19511"/>
    <n v="4"/>
    <s v="Laptop"/>
    <s v="West"/>
    <n v="78044"/>
  </r>
  <r>
    <s v="ORD3764"/>
    <x v="55"/>
    <x v="1"/>
    <x v="0"/>
    <n v="32039"/>
    <n v="4"/>
    <s v="Monitor"/>
    <s v="West"/>
    <n v="128156"/>
  </r>
  <r>
    <s v="ORD3765"/>
    <x v="42"/>
    <x v="1"/>
    <x v="3"/>
    <n v="48970"/>
    <n v="8"/>
    <s v="Laptop"/>
    <s v="West"/>
    <n v="391760"/>
  </r>
  <r>
    <s v="ORD3766"/>
    <x v="173"/>
    <x v="1"/>
    <x v="4"/>
    <n v="25236"/>
    <n v="3"/>
    <s v="Tablet"/>
    <s v="West"/>
    <n v="75708"/>
  </r>
  <r>
    <s v="ORD3767"/>
    <x v="125"/>
    <x v="3"/>
    <x v="1"/>
    <n v="46987"/>
    <n v="4"/>
    <s v="Headphones"/>
    <s v="North"/>
    <n v="187948"/>
  </r>
  <r>
    <s v="ORD3768"/>
    <x v="238"/>
    <x v="0"/>
    <x v="4"/>
    <n v="41477"/>
    <n v="9"/>
    <s v="Tablet"/>
    <s v="South"/>
    <n v="373293"/>
  </r>
  <r>
    <s v="ORD3769"/>
    <x v="273"/>
    <x v="2"/>
    <x v="4"/>
    <n v="12580"/>
    <n v="6"/>
    <s v="Tablet"/>
    <s v="East"/>
    <n v="75480"/>
  </r>
  <r>
    <s v="ORD3770"/>
    <x v="294"/>
    <x v="1"/>
    <x v="4"/>
    <n v="18112"/>
    <n v="7"/>
    <s v="Tablet"/>
    <s v="West"/>
    <n v="126784"/>
  </r>
  <r>
    <s v="ORD3771"/>
    <x v="204"/>
    <x v="0"/>
    <x v="2"/>
    <n v="27371"/>
    <n v="7"/>
    <s v="Phone"/>
    <s v="South"/>
    <n v="191597"/>
  </r>
  <r>
    <s v="ORD3772"/>
    <x v="295"/>
    <x v="0"/>
    <x v="1"/>
    <n v="1779"/>
    <n v="5"/>
    <s v="Headphones"/>
    <s v="South"/>
    <n v="8895"/>
  </r>
  <r>
    <s v="ORD3773"/>
    <x v="213"/>
    <x v="1"/>
    <x v="0"/>
    <n v="18805"/>
    <n v="9"/>
    <s v="Monitor"/>
    <s v="West"/>
    <n v="169245"/>
  </r>
  <r>
    <s v="ORD3774"/>
    <x v="63"/>
    <x v="0"/>
    <x v="4"/>
    <n v="45846"/>
    <n v="7"/>
    <s v="Tablet"/>
    <s v="South"/>
    <n v="320922"/>
  </r>
  <r>
    <s v="ORD3775"/>
    <x v="17"/>
    <x v="2"/>
    <x v="0"/>
    <n v="428"/>
    <n v="1"/>
    <s v="Monitor"/>
    <s v="East"/>
    <n v="428"/>
  </r>
  <r>
    <s v="ORD3776"/>
    <x v="32"/>
    <x v="3"/>
    <x v="4"/>
    <n v="41209"/>
    <n v="3"/>
    <s v="Tablet"/>
    <s v="North"/>
    <n v="123627"/>
  </r>
  <r>
    <s v="ORD3777"/>
    <x v="296"/>
    <x v="0"/>
    <x v="3"/>
    <n v="43954"/>
    <n v="2"/>
    <s v="Laptop"/>
    <s v="South"/>
    <n v="87908"/>
  </r>
  <r>
    <s v="ORD3778"/>
    <x v="88"/>
    <x v="1"/>
    <x v="1"/>
    <n v="36889"/>
    <n v="6"/>
    <s v="Headphones"/>
    <s v="West"/>
    <n v="221334"/>
  </r>
  <r>
    <s v="ORD3779"/>
    <x v="284"/>
    <x v="0"/>
    <x v="0"/>
    <n v="6897"/>
    <n v="7"/>
    <s v="Monitor"/>
    <s v="South"/>
    <n v="48279"/>
  </r>
  <r>
    <s v="ORD3780"/>
    <x v="150"/>
    <x v="3"/>
    <x v="3"/>
    <n v="10212"/>
    <n v="10"/>
    <s v="Laptop"/>
    <s v="North"/>
    <n v="102120"/>
  </r>
  <r>
    <s v="ORD3781"/>
    <x v="285"/>
    <x v="0"/>
    <x v="3"/>
    <n v="38498"/>
    <n v="3"/>
    <s v="Laptop"/>
    <s v="South"/>
    <n v="115494"/>
  </r>
  <r>
    <s v="ORD3783"/>
    <x v="139"/>
    <x v="3"/>
    <x v="2"/>
    <n v="20701"/>
    <n v="3"/>
    <s v="Phone"/>
    <s v="North"/>
    <n v="62103"/>
  </r>
  <r>
    <s v="ORD3784"/>
    <x v="188"/>
    <x v="1"/>
    <x v="1"/>
    <n v="16207"/>
    <n v="3"/>
    <s v="Headphones"/>
    <s v="West"/>
    <n v="48621"/>
  </r>
  <r>
    <s v="ORD3786"/>
    <x v="297"/>
    <x v="3"/>
    <x v="2"/>
    <n v="23689"/>
    <n v="3"/>
    <s v="Phone"/>
    <s v="North"/>
    <n v="71067"/>
  </r>
  <r>
    <s v="ORD3787"/>
    <x v="45"/>
    <x v="1"/>
    <x v="2"/>
    <n v="20710"/>
    <n v="4"/>
    <s v="Phone"/>
    <s v="West"/>
    <n v="82840"/>
  </r>
  <r>
    <s v="ORD3789"/>
    <x v="205"/>
    <x v="0"/>
    <x v="3"/>
    <n v="49189"/>
    <n v="10"/>
    <s v="Laptop"/>
    <s v="South"/>
    <n v="491890"/>
  </r>
  <r>
    <s v="ORD3790"/>
    <x v="298"/>
    <x v="0"/>
    <x v="3"/>
    <n v="19922"/>
    <n v="7"/>
    <s v="Laptop"/>
    <s v="South"/>
    <n v="139454"/>
  </r>
  <r>
    <s v="ORD3791"/>
    <x v="299"/>
    <x v="0"/>
    <x v="0"/>
    <n v="18171"/>
    <n v="9"/>
    <s v="Monitor"/>
    <s v="South"/>
    <n v="163539"/>
  </r>
  <r>
    <s v="ORD3792"/>
    <x v="220"/>
    <x v="3"/>
    <x v="2"/>
    <n v="32004"/>
    <n v="5"/>
    <s v="Phone"/>
    <s v="North"/>
    <n v="160020"/>
  </r>
  <r>
    <s v="ORD3793"/>
    <x v="229"/>
    <x v="1"/>
    <x v="4"/>
    <n v="29490"/>
    <n v="8"/>
    <s v="Tablet"/>
    <s v="West"/>
    <n v="235920"/>
  </r>
  <r>
    <s v="ORD3794"/>
    <x v="300"/>
    <x v="0"/>
    <x v="2"/>
    <n v="23129"/>
    <n v="6"/>
    <s v="Phone"/>
    <s v="South"/>
    <n v="138774"/>
  </r>
  <r>
    <s v="ORD3794"/>
    <x v="300"/>
    <x v="0"/>
    <x v="2"/>
    <n v="23129"/>
    <n v="6"/>
    <s v="Phone"/>
    <s v="South"/>
    <n v="138774"/>
  </r>
  <r>
    <s v="ORD3795"/>
    <x v="30"/>
    <x v="2"/>
    <x v="0"/>
    <n v="24202"/>
    <n v="6"/>
    <s v="Monitor"/>
    <s v="East"/>
    <n v="145212"/>
  </r>
  <r>
    <s v="ORD3796"/>
    <x v="86"/>
    <x v="3"/>
    <x v="3"/>
    <n v="38540"/>
    <n v="4"/>
    <s v="Laptop"/>
    <s v="North"/>
    <n v="154160"/>
  </r>
  <r>
    <s v="ORD3797"/>
    <x v="24"/>
    <x v="0"/>
    <x v="4"/>
    <n v="48156"/>
    <n v="5"/>
    <s v="Tablet"/>
    <s v="South"/>
    <n v="240780"/>
  </r>
  <r>
    <s v="ORD3799"/>
    <x v="33"/>
    <x v="3"/>
    <x v="4"/>
    <n v="23753"/>
    <n v="6"/>
    <s v="Tablet"/>
    <s v="North"/>
    <n v="142518"/>
  </r>
  <r>
    <s v="ORD3800"/>
    <x v="44"/>
    <x v="2"/>
    <x v="3"/>
    <n v="49453"/>
    <n v="10"/>
    <s v="Laptop"/>
    <s v="East"/>
    <n v="494530"/>
  </r>
  <r>
    <s v="ORD3801"/>
    <x v="152"/>
    <x v="0"/>
    <x v="4"/>
    <n v="25281"/>
    <n v="10"/>
    <s v="Tablet"/>
    <s v="South"/>
    <n v="252810"/>
  </r>
  <r>
    <s v="ORD3804"/>
    <x v="90"/>
    <x v="1"/>
    <x v="4"/>
    <n v="4931"/>
    <n v="10"/>
    <s v="Tablet"/>
    <s v="West"/>
    <n v="49310"/>
  </r>
  <r>
    <s v="ORD3806"/>
    <x v="18"/>
    <x v="0"/>
    <x v="1"/>
    <n v="20287"/>
    <n v="3"/>
    <s v="Headphones"/>
    <s v="South"/>
    <n v="60861"/>
  </r>
  <r>
    <s v="ORD3808"/>
    <x v="283"/>
    <x v="2"/>
    <x v="2"/>
    <n v="743"/>
    <n v="8"/>
    <s v="Phone"/>
    <s v="East"/>
    <n v="5944"/>
  </r>
  <r>
    <s v="ORD3810"/>
    <x v="240"/>
    <x v="3"/>
    <x v="4"/>
    <n v="46545"/>
    <n v="8"/>
    <s v="Tablet"/>
    <s v="North"/>
    <n v="372360"/>
  </r>
  <r>
    <s v="ORD3811"/>
    <x v="257"/>
    <x v="2"/>
    <x v="2"/>
    <n v="7367"/>
    <n v="4"/>
    <s v="Phone"/>
    <s v="East"/>
    <n v="29468"/>
  </r>
  <r>
    <s v="ORD3812"/>
    <x v="269"/>
    <x v="2"/>
    <x v="2"/>
    <n v="46194"/>
    <n v="2"/>
    <s v="Phone"/>
    <s v="East"/>
    <n v="92388"/>
  </r>
  <r>
    <s v="ORD3813"/>
    <x v="286"/>
    <x v="2"/>
    <x v="3"/>
    <n v="25166"/>
    <n v="6"/>
    <s v="Laptop"/>
    <s v="East"/>
    <n v="150996"/>
  </r>
  <r>
    <s v="ORD3814"/>
    <x v="43"/>
    <x v="2"/>
    <x v="2"/>
    <n v="9508"/>
    <n v="2"/>
    <s v="Phone"/>
    <s v="East"/>
    <n v="19016"/>
  </r>
  <r>
    <s v="ORD3815"/>
    <x v="301"/>
    <x v="1"/>
    <x v="4"/>
    <n v="23054"/>
    <n v="2"/>
    <s v="Tablet"/>
    <s v="West"/>
    <n v="46108"/>
  </r>
  <r>
    <s v="ORD3817"/>
    <x v="246"/>
    <x v="1"/>
    <x v="0"/>
    <n v="24516"/>
    <n v="8"/>
    <s v="Monitor"/>
    <s v="West"/>
    <n v="196128"/>
  </r>
  <r>
    <s v="ORD3817"/>
    <x v="246"/>
    <x v="1"/>
    <x v="0"/>
    <n v="24516"/>
    <n v="8"/>
    <s v="Monitor"/>
    <s v="West"/>
    <n v="196128"/>
  </r>
  <r>
    <s v="ORD3818"/>
    <x v="130"/>
    <x v="2"/>
    <x v="4"/>
    <n v="38772"/>
    <n v="5"/>
    <s v="Tablet"/>
    <s v="East"/>
    <n v="193860"/>
  </r>
  <r>
    <s v="ORD3819"/>
    <x v="232"/>
    <x v="2"/>
    <x v="1"/>
    <n v="42784"/>
    <n v="6"/>
    <s v="Headphones"/>
    <s v="East"/>
    <n v="256704"/>
  </r>
  <r>
    <s v="ORD3820"/>
    <x v="172"/>
    <x v="1"/>
    <x v="0"/>
    <n v="41770"/>
    <n v="8"/>
    <s v="Monitor"/>
    <s v="West"/>
    <n v="334160"/>
  </r>
  <r>
    <s v="ORD3821"/>
    <x v="270"/>
    <x v="1"/>
    <x v="1"/>
    <n v="31075"/>
    <n v="5"/>
    <s v="Headphones"/>
    <s v="West"/>
    <n v="155375"/>
  </r>
  <r>
    <s v="ORD3822"/>
    <x v="276"/>
    <x v="3"/>
    <x v="3"/>
    <n v="19942"/>
    <n v="10"/>
    <s v="Laptop"/>
    <s v="North"/>
    <n v="199420"/>
  </r>
  <r>
    <s v="ORD3823"/>
    <x v="250"/>
    <x v="1"/>
    <x v="4"/>
    <n v="10219"/>
    <n v="2"/>
    <s v="Tablet"/>
    <s v="West"/>
    <n v="20438"/>
  </r>
  <r>
    <s v="ORD3824"/>
    <x v="15"/>
    <x v="0"/>
    <x v="0"/>
    <n v="42597"/>
    <n v="3"/>
    <s v="Monitor"/>
    <s v="South"/>
    <n v="127791"/>
  </r>
  <r>
    <s v="ORD3825"/>
    <x v="272"/>
    <x v="0"/>
    <x v="1"/>
    <n v="24073"/>
    <n v="10"/>
    <s v="Headphones"/>
    <s v="South"/>
    <n v="240730"/>
  </r>
  <r>
    <s v="ORD3826"/>
    <x v="302"/>
    <x v="2"/>
    <x v="0"/>
    <n v="37964"/>
    <n v="1"/>
    <s v="Monitor"/>
    <s v="East"/>
    <n v="37964"/>
  </r>
  <r>
    <s v="ORD3827"/>
    <x v="38"/>
    <x v="1"/>
    <x v="0"/>
    <n v="47736"/>
    <n v="3"/>
    <s v="Monitor"/>
    <s v="West"/>
    <n v="143208"/>
  </r>
  <r>
    <s v="ORD3828"/>
    <x v="170"/>
    <x v="3"/>
    <x v="3"/>
    <n v="16353"/>
    <n v="9"/>
    <s v="Laptop"/>
    <s v="North"/>
    <n v="147177"/>
  </r>
  <r>
    <s v="ORD3829"/>
    <x v="219"/>
    <x v="0"/>
    <x v="2"/>
    <n v="8625"/>
    <n v="6"/>
    <s v="Phone"/>
    <s v="South"/>
    <n v="51750"/>
  </r>
  <r>
    <s v="ORD3830"/>
    <x v="303"/>
    <x v="2"/>
    <x v="0"/>
    <n v="20725"/>
    <n v="9"/>
    <s v="Monitor"/>
    <s v="East"/>
    <n v="186525"/>
  </r>
  <r>
    <s v="ORD3832"/>
    <x v="304"/>
    <x v="3"/>
    <x v="4"/>
    <n v="15131"/>
    <n v="1"/>
    <s v="Tablet"/>
    <s v="North"/>
    <n v="15131"/>
  </r>
  <r>
    <s v="ORD3833"/>
    <x v="25"/>
    <x v="2"/>
    <x v="3"/>
    <n v="39528"/>
    <n v="10"/>
    <s v="Laptop"/>
    <s v="East"/>
    <n v="395280"/>
  </r>
  <r>
    <s v="ORD3834"/>
    <x v="4"/>
    <x v="2"/>
    <x v="2"/>
    <n v="45312"/>
    <n v="2"/>
    <s v="Phone"/>
    <s v="East"/>
    <n v="90624"/>
  </r>
  <r>
    <s v="ORD3836"/>
    <x v="268"/>
    <x v="2"/>
    <x v="0"/>
    <n v="868"/>
    <n v="7"/>
    <s v="Monitor"/>
    <s v="East"/>
    <n v="6076"/>
  </r>
  <r>
    <s v="ORD3837"/>
    <x v="144"/>
    <x v="3"/>
    <x v="4"/>
    <n v="19441"/>
    <n v="10"/>
    <s v="Tablet"/>
    <s v="North"/>
    <n v="194410"/>
  </r>
  <r>
    <s v="ORD3838"/>
    <x v="227"/>
    <x v="1"/>
    <x v="1"/>
    <n v="40692"/>
    <n v="4"/>
    <s v="Headphones"/>
    <s v="West"/>
    <n v="162768"/>
  </r>
  <r>
    <s v="ORD3839"/>
    <x v="305"/>
    <x v="2"/>
    <x v="4"/>
    <n v="3163"/>
    <n v="1"/>
    <s v="Tablet"/>
    <s v="East"/>
    <n v="3163"/>
  </r>
  <r>
    <s v="ORD3841"/>
    <x v="48"/>
    <x v="3"/>
    <x v="1"/>
    <n v="11234"/>
    <n v="4"/>
    <s v="Headphones"/>
    <s v="North"/>
    <n v="44936"/>
  </r>
  <r>
    <s v="ORD3842"/>
    <x v="187"/>
    <x v="2"/>
    <x v="4"/>
    <n v="48227"/>
    <n v="4"/>
    <s v="Tablet"/>
    <s v="East"/>
    <n v="192908"/>
  </r>
  <r>
    <s v="ORD3843"/>
    <x v="79"/>
    <x v="3"/>
    <x v="2"/>
    <n v="40831"/>
    <n v="7"/>
    <s v="Phone"/>
    <s v="North"/>
    <n v="285817"/>
  </r>
  <r>
    <s v="ORD3844"/>
    <x v="263"/>
    <x v="0"/>
    <x v="4"/>
    <n v="9077"/>
    <n v="5"/>
    <s v="Tablet"/>
    <s v="South"/>
    <n v="45385"/>
  </r>
  <r>
    <s v="ORD3845"/>
    <x v="306"/>
    <x v="2"/>
    <x v="2"/>
    <n v="14663"/>
    <n v="6"/>
    <s v="Phone"/>
    <s v="East"/>
    <n v="87978"/>
  </r>
  <r>
    <s v="ORD3846"/>
    <x v="118"/>
    <x v="0"/>
    <x v="2"/>
    <n v="822"/>
    <n v="2"/>
    <s v="Phone"/>
    <s v="South"/>
    <n v="1644"/>
  </r>
  <r>
    <s v="ORD3849"/>
    <x v="22"/>
    <x v="0"/>
    <x v="0"/>
    <n v="43923"/>
    <n v="5"/>
    <s v="Monitor"/>
    <s v="South"/>
    <n v="219615"/>
  </r>
  <r>
    <s v="ORD3850"/>
    <x v="162"/>
    <x v="3"/>
    <x v="2"/>
    <n v="24024"/>
    <n v="10"/>
    <s v="Phone"/>
    <s v="North"/>
    <n v="240240"/>
  </r>
  <r>
    <s v="ORD3851"/>
    <x v="224"/>
    <x v="2"/>
    <x v="4"/>
    <n v="30278"/>
    <n v="10"/>
    <s v="Tablet"/>
    <s v="East"/>
    <n v="302780"/>
  </r>
  <r>
    <s v="ORD3852"/>
    <x v="200"/>
    <x v="2"/>
    <x v="2"/>
    <n v="16188"/>
    <n v="10"/>
    <s v="Phone"/>
    <s v="East"/>
    <n v="161880"/>
  </r>
  <r>
    <s v="ORD3854"/>
    <x v="227"/>
    <x v="2"/>
    <x v="0"/>
    <n v="34435"/>
    <n v="1"/>
    <s v="Monitor"/>
    <s v="East"/>
    <n v="34435"/>
  </r>
  <r>
    <s v="ORD3855"/>
    <x v="40"/>
    <x v="3"/>
    <x v="0"/>
    <n v="36048"/>
    <n v="3"/>
    <s v="Monitor"/>
    <s v="North"/>
    <n v="108144"/>
  </r>
  <r>
    <s v="ORD3856"/>
    <x v="307"/>
    <x v="3"/>
    <x v="4"/>
    <n v="23882"/>
    <n v="10"/>
    <s v="Tablet"/>
    <s v="North"/>
    <n v="238820"/>
  </r>
  <r>
    <s v="ORD3857"/>
    <x v="13"/>
    <x v="3"/>
    <x v="0"/>
    <n v="46191"/>
    <n v="9"/>
    <s v="Monitor"/>
    <s v="North"/>
    <n v="415719"/>
  </r>
  <r>
    <s v="ORD3859"/>
    <x v="241"/>
    <x v="2"/>
    <x v="3"/>
    <n v="17025"/>
    <n v="7"/>
    <s v="Laptop"/>
    <s v="East"/>
    <n v="119175"/>
  </r>
  <r>
    <s v="ORD3860"/>
    <x v="308"/>
    <x v="1"/>
    <x v="4"/>
    <n v="12768"/>
    <n v="4"/>
    <s v="Tablet"/>
    <s v="West"/>
    <n v="51072"/>
  </r>
  <r>
    <s v="ORD3861"/>
    <x v="309"/>
    <x v="1"/>
    <x v="2"/>
    <n v="28108"/>
    <n v="2"/>
    <s v="Phone"/>
    <s v="West"/>
    <n v="56216"/>
  </r>
  <r>
    <s v="ORD3862"/>
    <x v="310"/>
    <x v="3"/>
    <x v="0"/>
    <n v="46678"/>
    <n v="8"/>
    <s v="Monitor"/>
    <s v="North"/>
    <n v="373424"/>
  </r>
  <r>
    <s v="ORD3863"/>
    <x v="230"/>
    <x v="1"/>
    <x v="4"/>
    <n v="2912"/>
    <n v="6"/>
    <s v="Tablet"/>
    <s v="West"/>
    <n v="17472"/>
  </r>
  <r>
    <s v="ORD3864"/>
    <x v="311"/>
    <x v="1"/>
    <x v="3"/>
    <n v="40292"/>
    <n v="1"/>
    <s v="Laptop"/>
    <s v="West"/>
    <n v="40292"/>
  </r>
  <r>
    <s v="ORD3866"/>
    <x v="312"/>
    <x v="0"/>
    <x v="2"/>
    <n v="34885"/>
    <n v="8"/>
    <s v="Phone"/>
    <s v="South"/>
    <n v="279080"/>
  </r>
  <r>
    <s v="ORD3867"/>
    <x v="69"/>
    <x v="0"/>
    <x v="0"/>
    <n v="36822"/>
    <n v="6"/>
    <s v="Monitor"/>
    <s v="South"/>
    <n v="220932"/>
  </r>
  <r>
    <s v="ORD3870"/>
    <x v="195"/>
    <x v="3"/>
    <x v="4"/>
    <n v="36032"/>
    <n v="3"/>
    <s v="Tablet"/>
    <s v="North"/>
    <n v="108096"/>
  </r>
  <r>
    <s v="ORD3871"/>
    <x v="213"/>
    <x v="1"/>
    <x v="0"/>
    <n v="14355"/>
    <n v="8"/>
    <s v="Monitor"/>
    <s v="West"/>
    <n v="114840"/>
  </r>
  <r>
    <s v="ORD3872"/>
    <x v="56"/>
    <x v="1"/>
    <x v="2"/>
    <n v="25566"/>
    <n v="9"/>
    <s v="Phone"/>
    <s v="West"/>
    <n v="230094"/>
  </r>
  <r>
    <s v="ORD3873"/>
    <x v="293"/>
    <x v="0"/>
    <x v="0"/>
    <n v="1871"/>
    <n v="2"/>
    <s v="Monitor"/>
    <s v="South"/>
    <n v="3742"/>
  </r>
  <r>
    <s v="ORD3874"/>
    <x v="47"/>
    <x v="2"/>
    <x v="0"/>
    <n v="28715"/>
    <n v="7"/>
    <s v="Monitor"/>
    <s v="East"/>
    <n v="201005"/>
  </r>
  <r>
    <s v="ORD3876"/>
    <x v="194"/>
    <x v="0"/>
    <x v="2"/>
    <n v="25415"/>
    <n v="10"/>
    <s v="Phone"/>
    <s v="South"/>
    <n v="254150"/>
  </r>
  <r>
    <s v="ORD3877"/>
    <x v="233"/>
    <x v="2"/>
    <x v="3"/>
    <n v="33169"/>
    <n v="4"/>
    <s v="Laptop"/>
    <s v="East"/>
    <n v="132676"/>
  </r>
  <r>
    <s v="ORD3880"/>
    <x v="290"/>
    <x v="0"/>
    <x v="2"/>
    <n v="24128"/>
    <n v="2"/>
    <s v="Phone"/>
    <s v="South"/>
    <n v="48256"/>
  </r>
  <r>
    <s v="ORD3880"/>
    <x v="290"/>
    <x v="0"/>
    <x v="2"/>
    <n v="24128"/>
    <n v="2"/>
    <s v="Phone"/>
    <s v="South"/>
    <n v="48256"/>
  </r>
  <r>
    <s v="ORD3881"/>
    <x v="188"/>
    <x v="3"/>
    <x v="0"/>
    <n v="18283"/>
    <n v="10"/>
    <s v="Monitor"/>
    <s v="North"/>
    <n v="182830"/>
  </r>
  <r>
    <s v="ORD3882"/>
    <x v="49"/>
    <x v="0"/>
    <x v="4"/>
    <n v="304"/>
    <n v="8"/>
    <s v="Tablet"/>
    <s v="South"/>
    <n v="2432"/>
  </r>
  <r>
    <s v="ORD3883"/>
    <x v="103"/>
    <x v="2"/>
    <x v="4"/>
    <n v="42119"/>
    <n v="4"/>
    <s v="Tablet"/>
    <s v="East"/>
    <n v="168476"/>
  </r>
  <r>
    <s v="ORD3885"/>
    <x v="292"/>
    <x v="2"/>
    <x v="4"/>
    <n v="34446"/>
    <n v="2"/>
    <s v="Tablet"/>
    <s v="East"/>
    <n v="68892"/>
  </r>
  <r>
    <s v="ORD3886"/>
    <x v="280"/>
    <x v="1"/>
    <x v="0"/>
    <n v="38564"/>
    <n v="5"/>
    <s v="Monitor"/>
    <s v="West"/>
    <n v="192820"/>
  </r>
  <r>
    <s v="ORD3887"/>
    <x v="288"/>
    <x v="3"/>
    <x v="4"/>
    <n v="22015"/>
    <n v="1"/>
    <s v="Tablet"/>
    <s v="North"/>
    <n v="22015"/>
  </r>
  <r>
    <s v="ORD3887"/>
    <x v="288"/>
    <x v="3"/>
    <x v="4"/>
    <n v="22015"/>
    <n v="1"/>
    <s v="Tablet"/>
    <s v="North"/>
    <n v="22015"/>
  </r>
  <r>
    <s v="ORD3889"/>
    <x v="244"/>
    <x v="2"/>
    <x v="2"/>
    <n v="42963"/>
    <n v="8"/>
    <s v="Phone"/>
    <s v="East"/>
    <n v="343704"/>
  </r>
  <r>
    <s v="ORD3890"/>
    <x v="112"/>
    <x v="3"/>
    <x v="0"/>
    <n v="29157"/>
    <n v="3"/>
    <s v="Monitor"/>
    <s v="North"/>
    <n v="87471"/>
  </r>
  <r>
    <s v="ORD3891"/>
    <x v="78"/>
    <x v="2"/>
    <x v="4"/>
    <n v="39632"/>
    <n v="9"/>
    <s v="Tablet"/>
    <s v="East"/>
    <n v="356688"/>
  </r>
  <r>
    <s v="ORD3892"/>
    <x v="59"/>
    <x v="3"/>
    <x v="0"/>
    <n v="11294"/>
    <n v="10"/>
    <s v="Monitor"/>
    <s v="North"/>
    <n v="112940"/>
  </r>
  <r>
    <s v="ORD3893"/>
    <x v="131"/>
    <x v="3"/>
    <x v="4"/>
    <n v="48493"/>
    <n v="6"/>
    <s v="Tablet"/>
    <s v="North"/>
    <n v="290958"/>
  </r>
  <r>
    <s v="ORD3895"/>
    <x v="56"/>
    <x v="3"/>
    <x v="1"/>
    <n v="20071"/>
    <n v="7"/>
    <s v="Headphones"/>
    <s v="North"/>
    <n v="140497"/>
  </r>
  <r>
    <s v="ORD3896"/>
    <x v="295"/>
    <x v="2"/>
    <x v="0"/>
    <n v="48310"/>
    <n v="2"/>
    <s v="Monitor"/>
    <s v="East"/>
    <n v="96620"/>
  </r>
  <r>
    <s v="ORD3897"/>
    <x v="87"/>
    <x v="3"/>
    <x v="0"/>
    <n v="6797"/>
    <n v="5"/>
    <s v="Monitor"/>
    <s v="North"/>
    <n v="33985"/>
  </r>
  <r>
    <s v="ORD3898"/>
    <x v="305"/>
    <x v="2"/>
    <x v="3"/>
    <n v="22640"/>
    <n v="4"/>
    <s v="Laptop"/>
    <s v="East"/>
    <n v="90560"/>
  </r>
  <r>
    <s v="ORD3899"/>
    <x v="310"/>
    <x v="3"/>
    <x v="3"/>
    <n v="5210"/>
    <n v="5"/>
    <s v="Laptop"/>
    <s v="North"/>
    <n v="26050"/>
  </r>
  <r>
    <s v="ORD3900"/>
    <x v="112"/>
    <x v="0"/>
    <x v="0"/>
    <n v="34352"/>
    <n v="10"/>
    <s v="Monitor"/>
    <s v="South"/>
    <n v="343520"/>
  </r>
  <r>
    <s v="ORD3901"/>
    <x v="231"/>
    <x v="0"/>
    <x v="3"/>
    <n v="2961"/>
    <n v="3"/>
    <s v="Laptop"/>
    <s v="South"/>
    <n v="8883"/>
  </r>
  <r>
    <s v="ORD3902"/>
    <x v="313"/>
    <x v="0"/>
    <x v="2"/>
    <n v="45157"/>
    <n v="2"/>
    <s v="Phone"/>
    <s v="South"/>
    <n v="90314"/>
  </r>
  <r>
    <s v="ORD3903"/>
    <x v="264"/>
    <x v="1"/>
    <x v="1"/>
    <n v="20531"/>
    <n v="7"/>
    <s v="Headphones"/>
    <s v="West"/>
    <n v="143717"/>
  </r>
  <r>
    <s v="ORD3904"/>
    <x v="146"/>
    <x v="0"/>
    <x v="3"/>
    <n v="43192"/>
    <n v="10"/>
    <s v="Laptop"/>
    <s v="South"/>
    <n v="431920"/>
  </r>
  <r>
    <s v="ORD3905"/>
    <x v="249"/>
    <x v="1"/>
    <x v="3"/>
    <n v="45408"/>
    <n v="10"/>
    <s v="Laptop"/>
    <s v="West"/>
    <n v="454080"/>
  </r>
  <r>
    <s v="ORD3906"/>
    <x v="302"/>
    <x v="2"/>
    <x v="1"/>
    <n v="7173"/>
    <n v="6"/>
    <s v="Headphones"/>
    <s v="East"/>
    <n v="43038"/>
  </r>
  <r>
    <s v="ORD3907"/>
    <x v="314"/>
    <x v="0"/>
    <x v="4"/>
    <n v="30798"/>
    <n v="5"/>
    <s v="Tablet"/>
    <s v="South"/>
    <n v="153990"/>
  </r>
  <r>
    <s v="ORD3908"/>
    <x v="76"/>
    <x v="1"/>
    <x v="3"/>
    <n v="7457"/>
    <n v="8"/>
    <s v="Laptop"/>
    <s v="West"/>
    <n v="59656"/>
  </r>
  <r>
    <s v="ORD3909"/>
    <x v="114"/>
    <x v="2"/>
    <x v="2"/>
    <n v="23416"/>
    <n v="3"/>
    <s v="Phone"/>
    <s v="East"/>
    <n v="70248"/>
  </r>
  <r>
    <s v="ORD3910"/>
    <x v="243"/>
    <x v="3"/>
    <x v="0"/>
    <n v="34433"/>
    <n v="8"/>
    <s v="Monitor"/>
    <s v="North"/>
    <n v="275464"/>
  </r>
  <r>
    <s v="ORD3911"/>
    <x v="192"/>
    <x v="3"/>
    <x v="2"/>
    <n v="13361"/>
    <n v="2"/>
    <s v="Phone"/>
    <s v="North"/>
    <n v="26722"/>
  </r>
  <r>
    <s v="ORD3914"/>
    <x v="13"/>
    <x v="2"/>
    <x v="3"/>
    <n v="5326"/>
    <n v="4"/>
    <s v="Laptop"/>
    <s v="East"/>
    <n v="21304"/>
  </r>
  <r>
    <s v="ORD3915"/>
    <x v="116"/>
    <x v="1"/>
    <x v="0"/>
    <n v="18633"/>
    <n v="6"/>
    <s v="Monitor"/>
    <s v="West"/>
    <n v="111798"/>
  </r>
  <r>
    <s v="ORD3916"/>
    <x v="233"/>
    <x v="2"/>
    <x v="4"/>
    <n v="9658"/>
    <n v="2"/>
    <s v="Tablet"/>
    <s v="East"/>
    <n v="19316"/>
  </r>
  <r>
    <s v="ORD3919"/>
    <x v="214"/>
    <x v="3"/>
    <x v="0"/>
    <n v="34576"/>
    <n v="3"/>
    <s v="Monitor"/>
    <s v="North"/>
    <n v="103728"/>
  </r>
  <r>
    <s v="ORD3920"/>
    <x v="315"/>
    <x v="0"/>
    <x v="4"/>
    <n v="3401"/>
    <n v="4"/>
    <s v="Tablet"/>
    <s v="South"/>
    <n v="13604"/>
  </r>
  <r>
    <s v="ORD3921"/>
    <x v="316"/>
    <x v="2"/>
    <x v="2"/>
    <n v="8646"/>
    <n v="7"/>
    <s v="Phone"/>
    <s v="East"/>
    <n v="60522"/>
  </r>
  <r>
    <s v="ORD3922"/>
    <x v="245"/>
    <x v="2"/>
    <x v="4"/>
    <n v="37645"/>
    <n v="2"/>
    <s v="Tablet"/>
    <s v="East"/>
    <n v="75290"/>
  </r>
  <r>
    <s v="ORD3923"/>
    <x v="231"/>
    <x v="2"/>
    <x v="1"/>
    <n v="38476"/>
    <n v="6"/>
    <s v="Headphones"/>
    <s v="East"/>
    <n v="230856"/>
  </r>
  <r>
    <s v="ORD3924"/>
    <x v="65"/>
    <x v="0"/>
    <x v="0"/>
    <n v="28304"/>
    <n v="7"/>
    <s v="Monitor"/>
    <s v="South"/>
    <n v="198128"/>
  </r>
  <r>
    <s v="ORD3925"/>
    <x v="270"/>
    <x v="1"/>
    <x v="3"/>
    <n v="48104"/>
    <n v="4"/>
    <s v="Laptop"/>
    <s v="West"/>
    <n v="192416"/>
  </r>
  <r>
    <s v="ORD3926"/>
    <x v="247"/>
    <x v="0"/>
    <x v="1"/>
    <n v="26969"/>
    <n v="3"/>
    <s v="Headphones"/>
    <s v="South"/>
    <n v="80907"/>
  </r>
  <r>
    <s v="ORD3927"/>
    <x v="164"/>
    <x v="3"/>
    <x v="1"/>
    <n v="34187"/>
    <n v="8"/>
    <s v="Headphones"/>
    <s v="North"/>
    <n v="273496"/>
  </r>
  <r>
    <s v="ORD3928"/>
    <x v="317"/>
    <x v="2"/>
    <x v="1"/>
    <n v="23231"/>
    <n v="6"/>
    <s v="Headphones"/>
    <s v="East"/>
    <n v="139386"/>
  </r>
  <r>
    <s v="ORD3929"/>
    <x v="266"/>
    <x v="2"/>
    <x v="4"/>
    <n v="22894"/>
    <n v="8"/>
    <s v="Tablet"/>
    <s v="East"/>
    <n v="183152"/>
  </r>
  <r>
    <s v="ORD3932"/>
    <x v="194"/>
    <x v="2"/>
    <x v="4"/>
    <n v="39644"/>
    <n v="1"/>
    <s v="Tablet"/>
    <s v="East"/>
    <n v="39644"/>
  </r>
  <r>
    <s v="ORD3934"/>
    <x v="13"/>
    <x v="0"/>
    <x v="3"/>
    <n v="36986"/>
    <n v="7"/>
    <s v="Laptop"/>
    <s v="South"/>
    <n v="258902"/>
  </r>
  <r>
    <s v="ORD3936"/>
    <x v="127"/>
    <x v="1"/>
    <x v="0"/>
    <n v="36546"/>
    <n v="9"/>
    <s v="Monitor"/>
    <s v="West"/>
    <n v="328914"/>
  </r>
  <r>
    <s v="ORD3937"/>
    <x v="24"/>
    <x v="0"/>
    <x v="1"/>
    <n v="6530"/>
    <n v="9"/>
    <s v="Headphones"/>
    <s v="South"/>
    <n v="58770"/>
  </r>
  <r>
    <s v="ORD3938"/>
    <x v="303"/>
    <x v="1"/>
    <x v="3"/>
    <n v="21580"/>
    <n v="5"/>
    <s v="Laptop"/>
    <s v="West"/>
    <n v="107900"/>
  </r>
  <r>
    <s v="ORD3939"/>
    <x v="91"/>
    <x v="1"/>
    <x v="1"/>
    <n v="32173"/>
    <n v="8"/>
    <s v="Headphones"/>
    <s v="West"/>
    <n v="257384"/>
  </r>
  <r>
    <s v="ORD3941"/>
    <x v="159"/>
    <x v="3"/>
    <x v="1"/>
    <n v="19937"/>
    <n v="8"/>
    <s v="Headphones"/>
    <s v="North"/>
    <n v="159496"/>
  </r>
  <r>
    <s v="ORD3946"/>
    <x v="92"/>
    <x v="3"/>
    <x v="2"/>
    <n v="38283"/>
    <n v="6"/>
    <s v="Phone"/>
    <s v="North"/>
    <n v="229698"/>
  </r>
  <r>
    <s v="ORD3948"/>
    <x v="206"/>
    <x v="3"/>
    <x v="2"/>
    <n v="2484"/>
    <n v="4"/>
    <s v="Phone"/>
    <s v="North"/>
    <n v="9936"/>
  </r>
  <r>
    <s v="ORD3949"/>
    <x v="125"/>
    <x v="1"/>
    <x v="0"/>
    <n v="19568"/>
    <n v="4"/>
    <s v="Monitor"/>
    <s v="West"/>
    <n v="78272"/>
  </r>
  <r>
    <s v="ORD3950"/>
    <x v="134"/>
    <x v="2"/>
    <x v="0"/>
    <n v="27610"/>
    <n v="8"/>
    <s v="Monitor"/>
    <s v="East"/>
    <n v="220880"/>
  </r>
  <r>
    <s v="ORD3951"/>
    <x v="59"/>
    <x v="1"/>
    <x v="0"/>
    <n v="31408"/>
    <n v="5"/>
    <s v="Monitor"/>
    <s v="West"/>
    <n v="157040"/>
  </r>
  <r>
    <s v="ORD3952"/>
    <x v="318"/>
    <x v="2"/>
    <x v="2"/>
    <n v="20880"/>
    <n v="9"/>
    <s v="Phone"/>
    <s v="East"/>
    <n v="187920"/>
  </r>
  <r>
    <s v="ORD3953"/>
    <x v="62"/>
    <x v="0"/>
    <x v="1"/>
    <n v="10464"/>
    <n v="2"/>
    <s v="Headphones"/>
    <s v="South"/>
    <n v="20928"/>
  </r>
  <r>
    <s v="ORD3954"/>
    <x v="164"/>
    <x v="3"/>
    <x v="4"/>
    <n v="38219"/>
    <n v="7"/>
    <s v="Tablet"/>
    <s v="North"/>
    <n v="267533"/>
  </r>
  <r>
    <s v="ORD3955"/>
    <x v="169"/>
    <x v="0"/>
    <x v="2"/>
    <n v="23271"/>
    <n v="4"/>
    <s v="Phone"/>
    <s v="South"/>
    <n v="93084"/>
  </r>
  <r>
    <s v="ORD3956"/>
    <x v="197"/>
    <x v="1"/>
    <x v="1"/>
    <n v="38416"/>
    <n v="7"/>
    <s v="Headphones"/>
    <s v="West"/>
    <n v="268912"/>
  </r>
  <r>
    <s v="ORD3957"/>
    <x v="150"/>
    <x v="1"/>
    <x v="0"/>
    <n v="2535"/>
    <n v="2"/>
    <s v="Monitor"/>
    <s v="West"/>
    <n v="5070"/>
  </r>
  <r>
    <s v="ORD3959"/>
    <x v="15"/>
    <x v="2"/>
    <x v="2"/>
    <n v="18915"/>
    <n v="10"/>
    <s v="Phone"/>
    <s v="East"/>
    <n v="189150"/>
  </r>
  <r>
    <s v="ORD3960"/>
    <x v="97"/>
    <x v="3"/>
    <x v="1"/>
    <n v="17143"/>
    <n v="7"/>
    <s v="Headphones"/>
    <s v="North"/>
    <n v="120001"/>
  </r>
  <r>
    <s v="ORD3961"/>
    <x v="315"/>
    <x v="0"/>
    <x v="2"/>
    <n v="20471"/>
    <n v="9"/>
    <s v="Phone"/>
    <s v="South"/>
    <n v="184239"/>
  </r>
  <r>
    <s v="ORD3963"/>
    <x v="319"/>
    <x v="3"/>
    <x v="0"/>
    <n v="22784"/>
    <n v="6"/>
    <s v="Monitor"/>
    <s v="North"/>
    <n v="136704"/>
  </r>
  <r>
    <s v="ORD3964"/>
    <x v="84"/>
    <x v="1"/>
    <x v="2"/>
    <n v="20996"/>
    <n v="5"/>
    <s v="Phone"/>
    <s v="West"/>
    <n v="104980"/>
  </r>
  <r>
    <s v="ORD3965"/>
    <x v="244"/>
    <x v="1"/>
    <x v="0"/>
    <n v="4149"/>
    <n v="3"/>
    <s v="Monitor"/>
    <s v="West"/>
    <n v="12447"/>
  </r>
  <r>
    <s v="ORD3966"/>
    <x v="225"/>
    <x v="0"/>
    <x v="0"/>
    <n v="29512"/>
    <n v="4"/>
    <s v="Monitor"/>
    <s v="South"/>
    <n v="118048"/>
  </r>
  <r>
    <s v="ORD3967"/>
    <x v="320"/>
    <x v="0"/>
    <x v="3"/>
    <n v="6648"/>
    <n v="10"/>
    <s v="Laptop"/>
    <s v="South"/>
    <n v="66480"/>
  </r>
  <r>
    <s v="ORD3968"/>
    <x v="204"/>
    <x v="3"/>
    <x v="4"/>
    <n v="12191"/>
    <n v="3"/>
    <s v="Tablet"/>
    <s v="North"/>
    <n v="36573"/>
  </r>
  <r>
    <s v="ORD3969"/>
    <x v="265"/>
    <x v="1"/>
    <x v="2"/>
    <n v="5943"/>
    <n v="9"/>
    <s v="Phone"/>
    <s v="West"/>
    <n v="53487"/>
  </r>
  <r>
    <s v="ORD3970"/>
    <x v="222"/>
    <x v="2"/>
    <x v="1"/>
    <n v="25165"/>
    <n v="8"/>
    <s v="Headphones"/>
    <s v="East"/>
    <n v="201320"/>
  </r>
  <r>
    <s v="ORD3971"/>
    <x v="28"/>
    <x v="0"/>
    <x v="2"/>
    <n v="3889"/>
    <n v="2"/>
    <s v="Phone"/>
    <s v="South"/>
    <n v="7778"/>
  </r>
  <r>
    <s v="ORD3972"/>
    <x v="321"/>
    <x v="1"/>
    <x v="4"/>
    <n v="27673"/>
    <n v="9"/>
    <s v="Tablet"/>
    <s v="West"/>
    <n v="249057"/>
  </r>
  <r>
    <s v="ORD3973"/>
    <x v="173"/>
    <x v="0"/>
    <x v="4"/>
    <n v="35934"/>
    <n v="8"/>
    <s v="Tablet"/>
    <s v="South"/>
    <n v="287472"/>
  </r>
  <r>
    <s v="ORD3974"/>
    <x v="1"/>
    <x v="0"/>
    <x v="3"/>
    <n v="12920"/>
    <n v="6"/>
    <s v="Laptop"/>
    <s v="South"/>
    <n v="77520"/>
  </r>
  <r>
    <s v="ORD3975"/>
    <x v="2"/>
    <x v="2"/>
    <x v="3"/>
    <n v="27682"/>
    <n v="6"/>
    <s v="Laptop"/>
    <s v="East"/>
    <n v="166092"/>
  </r>
  <r>
    <s v="ORD3976"/>
    <x v="189"/>
    <x v="3"/>
    <x v="4"/>
    <n v="44108"/>
    <n v="3"/>
    <s v="Tablet"/>
    <s v="North"/>
    <n v="132324"/>
  </r>
  <r>
    <s v="ORD3977"/>
    <x v="195"/>
    <x v="3"/>
    <x v="2"/>
    <n v="461"/>
    <n v="2"/>
    <s v="Phone"/>
    <s v="North"/>
    <n v="922"/>
  </r>
  <r>
    <s v="ORD3978"/>
    <x v="91"/>
    <x v="0"/>
    <x v="0"/>
    <n v="4945"/>
    <n v="6"/>
    <s v="Monitor"/>
    <s v="South"/>
    <n v="29670"/>
  </r>
  <r>
    <s v="ORD3979"/>
    <x v="313"/>
    <x v="3"/>
    <x v="3"/>
    <n v="33829"/>
    <n v="4"/>
    <s v="Laptop"/>
    <s v="North"/>
    <n v="135316"/>
  </r>
  <r>
    <s v="ORD3980"/>
    <x v="264"/>
    <x v="1"/>
    <x v="3"/>
    <n v="16373"/>
    <n v="2"/>
    <s v="Laptop"/>
    <s v="West"/>
    <n v="32746"/>
  </r>
  <r>
    <s v="ORD3981"/>
    <x v="300"/>
    <x v="0"/>
    <x v="4"/>
    <n v="48349"/>
    <n v="2"/>
    <s v="Tablet"/>
    <s v="South"/>
    <n v="96698"/>
  </r>
  <r>
    <s v="ORD3982"/>
    <x v="229"/>
    <x v="3"/>
    <x v="1"/>
    <n v="42641"/>
    <n v="1"/>
    <s v="Headphones"/>
    <s v="North"/>
    <n v="42641"/>
  </r>
  <r>
    <s v="ORD3983"/>
    <x v="179"/>
    <x v="1"/>
    <x v="3"/>
    <n v="38841"/>
    <n v="9"/>
    <s v="Laptop"/>
    <s v="West"/>
    <n v="349569"/>
  </r>
  <r>
    <s v="ORD3985"/>
    <x v="322"/>
    <x v="1"/>
    <x v="4"/>
    <n v="45374"/>
    <n v="2"/>
    <s v="Tablet"/>
    <s v="West"/>
    <n v="90748"/>
  </r>
  <r>
    <s v="ORD3986"/>
    <x v="240"/>
    <x v="0"/>
    <x v="3"/>
    <n v="22588"/>
    <n v="3"/>
    <s v="Laptop"/>
    <s v="South"/>
    <n v="67764"/>
  </r>
  <r>
    <s v="ORD3987"/>
    <x v="71"/>
    <x v="2"/>
    <x v="2"/>
    <n v="45806"/>
    <n v="10"/>
    <s v="Phone"/>
    <s v="East"/>
    <n v="458060"/>
  </r>
  <r>
    <s v="ORD3988"/>
    <x v="288"/>
    <x v="2"/>
    <x v="3"/>
    <n v="12292"/>
    <n v="3"/>
    <s v="Laptop"/>
    <s v="East"/>
    <n v="36876"/>
  </r>
  <r>
    <s v="ORD3989"/>
    <x v="323"/>
    <x v="3"/>
    <x v="4"/>
    <n v="22730"/>
    <n v="9"/>
    <s v="Tablet"/>
    <s v="North"/>
    <n v="204570"/>
  </r>
  <r>
    <s v="ORD3991"/>
    <x v="324"/>
    <x v="2"/>
    <x v="2"/>
    <n v="43908"/>
    <n v="8"/>
    <s v="Phone"/>
    <s v="East"/>
    <n v="351264"/>
  </r>
  <r>
    <s v="ORD3994"/>
    <x v="214"/>
    <x v="3"/>
    <x v="2"/>
    <n v="41634"/>
    <n v="4"/>
    <s v="Phone"/>
    <s v="North"/>
    <n v="166536"/>
  </r>
  <r>
    <s v="ORD3996"/>
    <x v="219"/>
    <x v="0"/>
    <x v="2"/>
    <n v="35794"/>
    <n v="8"/>
    <s v="Phone"/>
    <s v="South"/>
    <n v="286352"/>
  </r>
  <r>
    <s v="ORD3998"/>
    <x v="208"/>
    <x v="3"/>
    <x v="0"/>
    <n v="47405"/>
    <n v="10"/>
    <s v="Monitor"/>
    <s v="North"/>
    <n v="474050"/>
  </r>
  <r>
    <s v="ORD3999"/>
    <x v="254"/>
    <x v="2"/>
    <x v="1"/>
    <n v="29388"/>
    <n v="4"/>
    <s v="Headphones"/>
    <s v="East"/>
    <n v="117552"/>
  </r>
  <r>
    <s v="ORD31000"/>
    <x v="214"/>
    <x v="3"/>
    <x v="3"/>
    <n v="35557"/>
    <n v="5"/>
    <s v="Laptop"/>
    <s v="North"/>
    <n v="177785"/>
  </r>
  <r>
    <s v="ORD31001"/>
    <x v="235"/>
    <x v="3"/>
    <x v="2"/>
    <n v="27891"/>
    <n v="4"/>
    <s v="Phone"/>
    <s v="North"/>
    <n v="111564"/>
  </r>
  <r>
    <s v="ORD31002"/>
    <x v="325"/>
    <x v="1"/>
    <x v="4"/>
    <n v="8349"/>
    <n v="1"/>
    <s v="Tablet"/>
    <s v="West"/>
    <n v="8349"/>
  </r>
  <r>
    <s v="ORD31003"/>
    <x v="326"/>
    <x v="1"/>
    <x v="0"/>
    <n v="45390"/>
    <n v="1"/>
    <s v="Monitor"/>
    <s v="West"/>
    <n v="45390"/>
  </r>
  <r>
    <s v="ORD31004"/>
    <x v="185"/>
    <x v="1"/>
    <x v="1"/>
    <n v="36331"/>
    <n v="8"/>
    <s v="Headphones"/>
    <s v="West"/>
    <n v="290648"/>
  </r>
  <r>
    <s v="ORD31005"/>
    <x v="89"/>
    <x v="2"/>
    <x v="2"/>
    <n v="48003"/>
    <n v="3"/>
    <s v="Phone"/>
    <s v="East"/>
    <n v="144009"/>
  </r>
  <r>
    <s v="ORD31006"/>
    <x v="144"/>
    <x v="2"/>
    <x v="0"/>
    <n v="9568"/>
    <n v="4"/>
    <s v="Monitor"/>
    <s v="East"/>
    <n v="38272"/>
  </r>
  <r>
    <s v="ORD31007"/>
    <x v="213"/>
    <x v="0"/>
    <x v="2"/>
    <n v="33066"/>
    <n v="8"/>
    <s v="Phone"/>
    <s v="South"/>
    <n v="264528"/>
  </r>
  <r>
    <s v="ORD31008"/>
    <x v="117"/>
    <x v="1"/>
    <x v="1"/>
    <n v="23542"/>
    <n v="10"/>
    <s v="Headphones"/>
    <s v="West"/>
    <n v="235420"/>
  </r>
  <r>
    <s v="ORD31009"/>
    <x v="123"/>
    <x v="2"/>
    <x v="0"/>
    <n v="41937"/>
    <n v="6"/>
    <s v="Monitor"/>
    <s v="East"/>
    <n v="251622"/>
  </r>
  <r>
    <s v="ORD31010"/>
    <x v="68"/>
    <x v="2"/>
    <x v="4"/>
    <n v="46334"/>
    <n v="3"/>
    <s v="Tablet"/>
    <s v="East"/>
    <n v="139002"/>
  </r>
  <r>
    <s v="ORD31011"/>
    <x v="38"/>
    <x v="3"/>
    <x v="2"/>
    <n v="45669"/>
    <n v="2"/>
    <s v="Phone"/>
    <s v="North"/>
    <n v="91338"/>
  </r>
  <r>
    <s v="ORD31012"/>
    <x v="9"/>
    <x v="2"/>
    <x v="1"/>
    <n v="46582"/>
    <n v="1"/>
    <s v="Headphones"/>
    <s v="East"/>
    <n v="46582"/>
  </r>
  <r>
    <s v="ORD31013"/>
    <x v="327"/>
    <x v="0"/>
    <x v="2"/>
    <n v="10294"/>
    <n v="7"/>
    <s v="Phone"/>
    <s v="South"/>
    <n v="72058"/>
  </r>
  <r>
    <s v="ORD31016"/>
    <x v="290"/>
    <x v="3"/>
    <x v="2"/>
    <n v="11353"/>
    <n v="10"/>
    <s v="Phone"/>
    <s v="North"/>
    <n v="113530"/>
  </r>
  <r>
    <s v="ORD31018"/>
    <x v="328"/>
    <x v="3"/>
    <x v="1"/>
    <n v="37500"/>
    <n v="9"/>
    <s v="Headphones"/>
    <s v="North"/>
    <n v="337500"/>
  </r>
  <r>
    <s v="ORD31019"/>
    <x v="195"/>
    <x v="2"/>
    <x v="0"/>
    <n v="23941"/>
    <n v="4"/>
    <s v="Monitor"/>
    <s v="East"/>
    <n v="95764"/>
  </r>
  <r>
    <s v="ORD31020"/>
    <x v="70"/>
    <x v="2"/>
    <x v="0"/>
    <n v="17702"/>
    <n v="6"/>
    <s v="Monitor"/>
    <s v="East"/>
    <n v="106212"/>
  </r>
  <r>
    <s v="ORD31021"/>
    <x v="255"/>
    <x v="2"/>
    <x v="3"/>
    <n v="46162"/>
    <n v="4"/>
    <s v="Laptop"/>
    <s v="East"/>
    <n v="184648"/>
  </r>
  <r>
    <s v="ORD31022"/>
    <x v="4"/>
    <x v="2"/>
    <x v="4"/>
    <n v="34637"/>
    <n v="1"/>
    <s v="Tablet"/>
    <s v="East"/>
    <n v="34637"/>
  </r>
  <r>
    <s v="ORD31023"/>
    <x v="265"/>
    <x v="2"/>
    <x v="2"/>
    <n v="14031"/>
    <n v="3"/>
    <s v="Phone"/>
    <s v="East"/>
    <n v="42093"/>
  </r>
  <r>
    <s v="ORD31024"/>
    <x v="246"/>
    <x v="1"/>
    <x v="1"/>
    <n v="41617"/>
    <n v="3"/>
    <s v="Headphones"/>
    <s v="West"/>
    <n v="124851"/>
  </r>
  <r>
    <s v="ORD31025"/>
    <x v="285"/>
    <x v="3"/>
    <x v="4"/>
    <n v="9973"/>
    <n v="2"/>
    <s v="Tablet"/>
    <s v="North"/>
    <n v="19946"/>
  </r>
  <r>
    <s v="ORD31027"/>
    <x v="243"/>
    <x v="0"/>
    <x v="4"/>
    <n v="2430"/>
    <n v="5"/>
    <s v="Tablet"/>
    <s v="South"/>
    <n v="12150"/>
  </r>
  <r>
    <s v="ORD31028"/>
    <x v="236"/>
    <x v="2"/>
    <x v="4"/>
    <n v="8942"/>
    <n v="3"/>
    <s v="Tablet"/>
    <s v="East"/>
    <n v="26826"/>
  </r>
  <r>
    <s v="ORD31031"/>
    <x v="317"/>
    <x v="0"/>
    <x v="3"/>
    <n v="2475"/>
    <n v="10"/>
    <s v="Laptop"/>
    <s v="South"/>
    <n v="24750"/>
  </r>
  <r>
    <s v="ORD31032"/>
    <x v="329"/>
    <x v="2"/>
    <x v="1"/>
    <n v="35154"/>
    <n v="7"/>
    <s v="Headphones"/>
    <s v="East"/>
    <n v="246078"/>
  </r>
  <r>
    <s v="ORD31033"/>
    <x v="23"/>
    <x v="3"/>
    <x v="4"/>
    <n v="15032"/>
    <n v="7"/>
    <s v="Tablet"/>
    <s v="North"/>
    <n v="105224"/>
  </r>
  <r>
    <s v="ORD31035"/>
    <x v="185"/>
    <x v="1"/>
    <x v="2"/>
    <n v="36260"/>
    <n v="3"/>
    <s v="Phone"/>
    <s v="West"/>
    <n v="108780"/>
  </r>
  <r>
    <s v="ORD31036"/>
    <x v="96"/>
    <x v="2"/>
    <x v="1"/>
    <n v="19705"/>
    <n v="1"/>
    <s v="Headphones"/>
    <s v="East"/>
    <n v="19705"/>
  </r>
  <r>
    <s v="ORD31037"/>
    <x v="59"/>
    <x v="2"/>
    <x v="3"/>
    <n v="20238"/>
    <n v="4"/>
    <s v="Laptop"/>
    <s v="East"/>
    <n v="80952"/>
  </r>
  <r>
    <s v="ORD31038"/>
    <x v="71"/>
    <x v="1"/>
    <x v="2"/>
    <n v="48013"/>
    <n v="6"/>
    <s v="Phone"/>
    <s v="West"/>
    <n v="288078"/>
  </r>
  <r>
    <s v="ORD31039"/>
    <x v="130"/>
    <x v="1"/>
    <x v="1"/>
    <n v="4641"/>
    <n v="7"/>
    <s v="Headphones"/>
    <s v="West"/>
    <n v="32487"/>
  </r>
  <r>
    <s v="ORD31039"/>
    <x v="130"/>
    <x v="1"/>
    <x v="1"/>
    <n v="4641"/>
    <n v="7"/>
    <s v="Headphones"/>
    <s v="West"/>
    <n v="32487"/>
  </r>
  <r>
    <s v="ORD31043"/>
    <x v="28"/>
    <x v="0"/>
    <x v="1"/>
    <n v="17966"/>
    <n v="9"/>
    <s v="Headphones"/>
    <s v="South"/>
    <n v="161694"/>
  </r>
  <r>
    <s v="ORD31044"/>
    <x v="111"/>
    <x v="3"/>
    <x v="4"/>
    <n v="48829"/>
    <n v="2"/>
    <s v="Tablet"/>
    <s v="North"/>
    <n v="97658"/>
  </r>
  <r>
    <s v="ORD31045"/>
    <x v="123"/>
    <x v="3"/>
    <x v="3"/>
    <n v="43591"/>
    <n v="6"/>
    <s v="Laptop"/>
    <s v="North"/>
    <n v="261546"/>
  </r>
  <r>
    <s v="ORD31047"/>
    <x v="299"/>
    <x v="3"/>
    <x v="4"/>
    <n v="31198"/>
    <n v="10"/>
    <s v="Tablet"/>
    <s v="North"/>
    <n v="311980"/>
  </r>
  <r>
    <s v="ORD31048"/>
    <x v="230"/>
    <x v="2"/>
    <x v="1"/>
    <n v="7684"/>
    <n v="2"/>
    <s v="Headphones"/>
    <s v="East"/>
    <n v="15368"/>
  </r>
  <r>
    <s v="ORD31049"/>
    <x v="123"/>
    <x v="3"/>
    <x v="4"/>
    <n v="9587"/>
    <n v="7"/>
    <s v="Tablet"/>
    <s v="North"/>
    <n v="67109"/>
  </r>
  <r>
    <s v="ORD31050"/>
    <x v="221"/>
    <x v="2"/>
    <x v="1"/>
    <n v="18735"/>
    <n v="3"/>
    <s v="Headphones"/>
    <s v="East"/>
    <n v="56205"/>
  </r>
  <r>
    <s v="ORD31051"/>
    <x v="156"/>
    <x v="0"/>
    <x v="1"/>
    <n v="7629"/>
    <n v="3"/>
    <s v="Headphones"/>
    <s v="South"/>
    <n v="22887"/>
  </r>
  <r>
    <s v="ORD31052"/>
    <x v="246"/>
    <x v="3"/>
    <x v="0"/>
    <n v="15752"/>
    <n v="8"/>
    <s v="Monitor"/>
    <s v="North"/>
    <n v="126016"/>
  </r>
  <r>
    <s v="ORD31053"/>
    <x v="277"/>
    <x v="3"/>
    <x v="4"/>
    <n v="19830"/>
    <n v="5"/>
    <s v="Tablet"/>
    <s v="North"/>
    <n v="99150"/>
  </r>
  <r>
    <s v="ORD31054"/>
    <x v="127"/>
    <x v="0"/>
    <x v="3"/>
    <n v="36321"/>
    <n v="5"/>
    <s v="Laptop"/>
    <s v="South"/>
    <n v="181605"/>
  </r>
  <r>
    <s v="ORD31056"/>
    <x v="121"/>
    <x v="0"/>
    <x v="1"/>
    <n v="40875"/>
    <n v="7"/>
    <s v="Headphones"/>
    <s v="South"/>
    <n v="286125"/>
  </r>
  <r>
    <s v="ORD31057"/>
    <x v="258"/>
    <x v="0"/>
    <x v="3"/>
    <n v="42829"/>
    <n v="7"/>
    <s v="Laptop"/>
    <s v="South"/>
    <n v="299803"/>
  </r>
  <r>
    <s v="ORD31058"/>
    <x v="136"/>
    <x v="0"/>
    <x v="3"/>
    <n v="36896"/>
    <n v="9"/>
    <s v="Laptop"/>
    <s v="South"/>
    <n v="332064"/>
  </r>
  <r>
    <s v="ORD31059"/>
    <x v="157"/>
    <x v="1"/>
    <x v="4"/>
    <n v="41622"/>
    <n v="8"/>
    <s v="Tablet"/>
    <s v="West"/>
    <n v="332976"/>
  </r>
  <r>
    <s v="ORD31060"/>
    <x v="213"/>
    <x v="3"/>
    <x v="1"/>
    <n v="43143"/>
    <n v="6"/>
    <s v="Headphones"/>
    <s v="North"/>
    <n v="258858"/>
  </r>
  <r>
    <s v="ORD31061"/>
    <x v="250"/>
    <x v="0"/>
    <x v="1"/>
    <n v="33538"/>
    <n v="8"/>
    <s v="Headphones"/>
    <s v="South"/>
    <n v="268304"/>
  </r>
  <r>
    <s v="ORD31062"/>
    <x v="52"/>
    <x v="2"/>
    <x v="4"/>
    <n v="4403"/>
    <n v="7"/>
    <s v="Tablet"/>
    <s v="East"/>
    <n v="30821"/>
  </r>
  <r>
    <s v="ORD31063"/>
    <x v="74"/>
    <x v="0"/>
    <x v="4"/>
    <n v="29730"/>
    <n v="3"/>
    <s v="Tablet"/>
    <s v="South"/>
    <n v="89190"/>
  </r>
  <r>
    <s v="ORD31064"/>
    <x v="125"/>
    <x v="3"/>
    <x v="3"/>
    <n v="37783"/>
    <n v="3"/>
    <s v="Laptop"/>
    <s v="North"/>
    <n v="113349"/>
  </r>
  <r>
    <s v="ORD31065"/>
    <x v="213"/>
    <x v="2"/>
    <x v="2"/>
    <n v="43054"/>
    <n v="4"/>
    <s v="Phone"/>
    <s v="East"/>
    <n v="172216"/>
  </r>
  <r>
    <s v="ORD31066"/>
    <x v="213"/>
    <x v="2"/>
    <x v="4"/>
    <n v="36355"/>
    <n v="8"/>
    <s v="Tablet"/>
    <s v="East"/>
    <n v="290840"/>
  </r>
  <r>
    <s v="ORD31067"/>
    <x v="202"/>
    <x v="1"/>
    <x v="4"/>
    <n v="36033"/>
    <n v="6"/>
    <s v="Tablet"/>
    <s v="West"/>
    <n v="216198"/>
  </r>
  <r>
    <s v="ORD31067"/>
    <x v="202"/>
    <x v="1"/>
    <x v="4"/>
    <n v="36033"/>
    <n v="6"/>
    <s v="Tablet"/>
    <s v="West"/>
    <n v="216198"/>
  </r>
  <r>
    <s v="ORD31068"/>
    <x v="163"/>
    <x v="3"/>
    <x v="1"/>
    <n v="20809"/>
    <n v="9"/>
    <s v="Headphones"/>
    <s v="North"/>
    <n v="187281"/>
  </r>
  <r>
    <s v="ORD31069"/>
    <x v="53"/>
    <x v="3"/>
    <x v="3"/>
    <n v="45808"/>
    <n v="10"/>
    <s v="Laptop"/>
    <s v="North"/>
    <n v="458080"/>
  </r>
  <r>
    <s v="ORD31070"/>
    <x v="226"/>
    <x v="0"/>
    <x v="1"/>
    <n v="11869"/>
    <n v="1"/>
    <s v="Headphones"/>
    <s v="South"/>
    <n v="11869"/>
  </r>
  <r>
    <s v="ORD31070"/>
    <x v="226"/>
    <x v="0"/>
    <x v="1"/>
    <n v="11869"/>
    <n v="1"/>
    <s v="Headphones"/>
    <s v="South"/>
    <n v="11869"/>
  </r>
  <r>
    <s v="ORD31071"/>
    <x v="40"/>
    <x v="0"/>
    <x v="3"/>
    <n v="22988"/>
    <n v="2"/>
    <s v="Laptop"/>
    <s v="South"/>
    <n v="45976"/>
  </r>
  <r>
    <s v="ORD31072"/>
    <x v="154"/>
    <x v="3"/>
    <x v="3"/>
    <n v="28851"/>
    <n v="8"/>
    <s v="Laptop"/>
    <s v="North"/>
    <n v="230808"/>
  </r>
  <r>
    <s v="ORD31073"/>
    <x v="162"/>
    <x v="1"/>
    <x v="4"/>
    <n v="39178"/>
    <n v="9"/>
    <s v="Tablet"/>
    <s v="West"/>
    <n v="352602"/>
  </r>
  <r>
    <s v="ORD31074"/>
    <x v="223"/>
    <x v="2"/>
    <x v="2"/>
    <n v="20575"/>
    <n v="7"/>
    <s v="Phone"/>
    <s v="East"/>
    <n v="144025"/>
  </r>
  <r>
    <s v="ORD31075"/>
    <x v="134"/>
    <x v="3"/>
    <x v="3"/>
    <n v="48550"/>
    <n v="10"/>
    <s v="Laptop"/>
    <s v="North"/>
    <n v="485500"/>
  </r>
  <r>
    <s v="ORD31076"/>
    <x v="27"/>
    <x v="1"/>
    <x v="3"/>
    <n v="9155"/>
    <n v="2"/>
    <s v="Laptop"/>
    <s v="West"/>
    <n v="18310"/>
  </r>
  <r>
    <s v="ORD31078"/>
    <x v="54"/>
    <x v="1"/>
    <x v="3"/>
    <n v="15540"/>
    <n v="10"/>
    <s v="Laptop"/>
    <s v="West"/>
    <n v="155400"/>
  </r>
  <r>
    <s v="ORD31079"/>
    <x v="98"/>
    <x v="2"/>
    <x v="0"/>
    <n v="23820"/>
    <n v="2"/>
    <s v="Monitor"/>
    <s v="East"/>
    <n v="47640"/>
  </r>
  <r>
    <s v="ORD31080"/>
    <x v="194"/>
    <x v="3"/>
    <x v="1"/>
    <n v="32922"/>
    <n v="2"/>
    <s v="Headphones"/>
    <s v="North"/>
    <n v="65844"/>
  </r>
  <r>
    <s v="ORD31081"/>
    <x v="205"/>
    <x v="3"/>
    <x v="4"/>
    <n v="16554"/>
    <n v="1"/>
    <s v="Tablet"/>
    <s v="North"/>
    <n v="16554"/>
  </r>
  <r>
    <s v="ORD31082"/>
    <x v="48"/>
    <x v="3"/>
    <x v="4"/>
    <n v="2602"/>
    <n v="3"/>
    <s v="Tablet"/>
    <s v="North"/>
    <n v="7806"/>
  </r>
  <r>
    <s v="ORD31083"/>
    <x v="97"/>
    <x v="3"/>
    <x v="3"/>
    <n v="13631"/>
    <n v="9"/>
    <s v="Laptop"/>
    <s v="North"/>
    <n v="122679"/>
  </r>
  <r>
    <s v="ORD31084"/>
    <x v="62"/>
    <x v="3"/>
    <x v="4"/>
    <n v="13303"/>
    <n v="9"/>
    <s v="Tablet"/>
    <s v="North"/>
    <n v="119727"/>
  </r>
  <r>
    <s v="ORD31085"/>
    <x v="37"/>
    <x v="2"/>
    <x v="4"/>
    <n v="15336"/>
    <n v="7"/>
    <s v="Tablet"/>
    <s v="East"/>
    <n v="107352"/>
  </r>
  <r>
    <s v="ORD31086"/>
    <x v="307"/>
    <x v="0"/>
    <x v="2"/>
    <n v="17575"/>
    <n v="6"/>
    <s v="Phone"/>
    <s v="South"/>
    <n v="105450"/>
  </r>
  <r>
    <s v="ORD31087"/>
    <x v="183"/>
    <x v="3"/>
    <x v="4"/>
    <n v="48105"/>
    <n v="3"/>
    <s v="Tablet"/>
    <s v="North"/>
    <n v="144315"/>
  </r>
  <r>
    <s v="ORD31088"/>
    <x v="239"/>
    <x v="2"/>
    <x v="2"/>
    <n v="42658"/>
    <n v="7"/>
    <s v="Phone"/>
    <s v="East"/>
    <n v="298606"/>
  </r>
  <r>
    <s v="ORD31089"/>
    <x v="55"/>
    <x v="1"/>
    <x v="1"/>
    <n v="22995"/>
    <n v="1"/>
    <s v="Headphones"/>
    <s v="West"/>
    <n v="22995"/>
  </r>
  <r>
    <s v="ORD31090"/>
    <x v="222"/>
    <x v="0"/>
    <x v="2"/>
    <n v="24182"/>
    <n v="9"/>
    <s v="Phone"/>
    <s v="South"/>
    <n v="217638"/>
  </r>
  <r>
    <s v="ORD31091"/>
    <x v="123"/>
    <x v="3"/>
    <x v="2"/>
    <n v="19999"/>
    <n v="8"/>
    <s v="Phone"/>
    <s v="North"/>
    <n v="159992"/>
  </r>
  <r>
    <s v="ORD31092"/>
    <x v="24"/>
    <x v="2"/>
    <x v="2"/>
    <n v="32391"/>
    <n v="6"/>
    <s v="Phone"/>
    <s v="East"/>
    <n v="194346"/>
  </r>
  <r>
    <s v="ORD31093"/>
    <x v="126"/>
    <x v="1"/>
    <x v="1"/>
    <n v="16685"/>
    <n v="9"/>
    <s v="Headphones"/>
    <s v="West"/>
    <n v="150165"/>
  </r>
  <r>
    <s v="ORD31094"/>
    <x v="224"/>
    <x v="2"/>
    <x v="4"/>
    <n v="13866"/>
    <n v="7"/>
    <s v="Tablet"/>
    <s v="East"/>
    <n v="97062"/>
  </r>
  <r>
    <s v="ORD31095"/>
    <x v="137"/>
    <x v="3"/>
    <x v="0"/>
    <n v="8402"/>
    <n v="8"/>
    <s v="Monitor"/>
    <s v="North"/>
    <n v="67216"/>
  </r>
  <r>
    <s v="ORD31099"/>
    <x v="303"/>
    <x v="1"/>
    <x v="1"/>
    <n v="14209"/>
    <n v="8"/>
    <s v="Headphones"/>
    <s v="West"/>
    <n v="113672"/>
  </r>
  <r>
    <s v="ORD31101"/>
    <x v="89"/>
    <x v="3"/>
    <x v="3"/>
    <n v="10280"/>
    <n v="4"/>
    <s v="Laptop"/>
    <s v="North"/>
    <n v="41120"/>
  </r>
  <r>
    <s v="ORD31102"/>
    <x v="300"/>
    <x v="1"/>
    <x v="0"/>
    <n v="37095"/>
    <n v="3"/>
    <s v="Monitor"/>
    <s v="West"/>
    <n v="111285"/>
  </r>
  <r>
    <s v="ORD31103"/>
    <x v="125"/>
    <x v="0"/>
    <x v="1"/>
    <n v="37624"/>
    <n v="6"/>
    <s v="Headphones"/>
    <s v="South"/>
    <n v="225744"/>
  </r>
  <r>
    <s v="ORD31104"/>
    <x v="330"/>
    <x v="0"/>
    <x v="0"/>
    <n v="35154"/>
    <n v="7"/>
    <s v="Monitor"/>
    <s v="South"/>
    <n v="246078"/>
  </r>
  <r>
    <s v="ORD31107"/>
    <x v="331"/>
    <x v="1"/>
    <x v="2"/>
    <n v="45114"/>
    <n v="6"/>
    <s v="Phone"/>
    <s v="West"/>
    <n v="270684"/>
  </r>
  <r>
    <s v="ORD31108"/>
    <x v="11"/>
    <x v="0"/>
    <x v="4"/>
    <n v="33387"/>
    <n v="7"/>
    <s v="Tablet"/>
    <s v="South"/>
    <n v="233709"/>
  </r>
  <r>
    <s v="ORD31110"/>
    <x v="225"/>
    <x v="1"/>
    <x v="3"/>
    <n v="7231"/>
    <n v="8"/>
    <s v="Laptop"/>
    <s v="West"/>
    <n v="57848"/>
  </r>
  <r>
    <s v="ORD31111"/>
    <x v="297"/>
    <x v="1"/>
    <x v="3"/>
    <n v="8625"/>
    <n v="5"/>
    <s v="Laptop"/>
    <s v="West"/>
    <n v="43125"/>
  </r>
  <r>
    <s v="ORD31113"/>
    <x v="214"/>
    <x v="0"/>
    <x v="0"/>
    <n v="24261"/>
    <n v="8"/>
    <s v="Monitor"/>
    <s v="South"/>
    <n v="194088"/>
  </r>
  <r>
    <s v="ORD31114"/>
    <x v="98"/>
    <x v="2"/>
    <x v="2"/>
    <n v="21135"/>
    <n v="3"/>
    <s v="Phone"/>
    <s v="East"/>
    <n v="63405"/>
  </r>
  <r>
    <s v="ORD31115"/>
    <x v="59"/>
    <x v="2"/>
    <x v="2"/>
    <n v="16619"/>
    <n v="6"/>
    <s v="Phone"/>
    <s v="East"/>
    <n v="99714"/>
  </r>
  <r>
    <s v="ORD31117"/>
    <x v="215"/>
    <x v="1"/>
    <x v="3"/>
    <n v="7223"/>
    <n v="6"/>
    <s v="Laptop"/>
    <s v="West"/>
    <n v="43338"/>
  </r>
  <r>
    <s v="ORD31118"/>
    <x v="140"/>
    <x v="3"/>
    <x v="2"/>
    <n v="32439"/>
    <n v="9"/>
    <s v="Phone"/>
    <s v="North"/>
    <n v="291951"/>
  </r>
  <r>
    <s v="ORD31119"/>
    <x v="243"/>
    <x v="1"/>
    <x v="2"/>
    <n v="29417"/>
    <n v="2"/>
    <s v="Phone"/>
    <s v="West"/>
    <n v="58834"/>
  </r>
  <r>
    <s v="ORD31121"/>
    <x v="122"/>
    <x v="3"/>
    <x v="4"/>
    <n v="22269"/>
    <n v="6"/>
    <s v="Tablet"/>
    <s v="North"/>
    <n v="133614"/>
  </r>
  <r>
    <s v="ORD31123"/>
    <x v="123"/>
    <x v="1"/>
    <x v="1"/>
    <n v="3496"/>
    <n v="8"/>
    <s v="Headphones"/>
    <s v="West"/>
    <n v="27968"/>
  </r>
  <r>
    <s v="ORD31124"/>
    <x v="84"/>
    <x v="2"/>
    <x v="2"/>
    <n v="22331"/>
    <n v="8"/>
    <s v="Phone"/>
    <s v="East"/>
    <n v="178648"/>
  </r>
  <r>
    <s v="ORD31125"/>
    <x v="28"/>
    <x v="2"/>
    <x v="2"/>
    <n v="19045"/>
    <n v="8"/>
    <s v="Phone"/>
    <s v="East"/>
    <n v="152360"/>
  </r>
  <r>
    <s v="ORD31126"/>
    <x v="203"/>
    <x v="0"/>
    <x v="0"/>
    <n v="34929"/>
    <n v="6"/>
    <s v="Monitor"/>
    <s v="South"/>
    <n v="209574"/>
  </r>
  <r>
    <s v="ORD31127"/>
    <x v="274"/>
    <x v="0"/>
    <x v="0"/>
    <n v="21879"/>
    <n v="8"/>
    <s v="Monitor"/>
    <s v="South"/>
    <n v="175032"/>
  </r>
  <r>
    <s v="ORD31128"/>
    <x v="50"/>
    <x v="1"/>
    <x v="4"/>
    <n v="31055"/>
    <n v="6"/>
    <s v="Tablet"/>
    <s v="West"/>
    <n v="186330"/>
  </r>
  <r>
    <s v="ORD31129"/>
    <x v="9"/>
    <x v="1"/>
    <x v="3"/>
    <n v="15427"/>
    <n v="9"/>
    <s v="Laptop"/>
    <s v="West"/>
    <n v="138843"/>
  </r>
  <r>
    <s v="ORD31130"/>
    <x v="209"/>
    <x v="1"/>
    <x v="0"/>
    <n v="9581"/>
    <n v="1"/>
    <s v="Monitor"/>
    <s v="West"/>
    <n v="9581"/>
  </r>
  <r>
    <s v="ORD31132"/>
    <x v="18"/>
    <x v="1"/>
    <x v="1"/>
    <n v="32824"/>
    <n v="5"/>
    <s v="Headphones"/>
    <s v="West"/>
    <n v="164120"/>
  </r>
  <r>
    <s v="ORD31133"/>
    <x v="186"/>
    <x v="0"/>
    <x v="4"/>
    <n v="16409"/>
    <n v="9"/>
    <s v="Tablet"/>
    <s v="South"/>
    <n v="147681"/>
  </r>
  <r>
    <s v="ORD31134"/>
    <x v="306"/>
    <x v="0"/>
    <x v="4"/>
    <n v="7360"/>
    <n v="7"/>
    <s v="Tablet"/>
    <s v="South"/>
    <n v="51520"/>
  </r>
  <r>
    <s v="ORD31136"/>
    <x v="157"/>
    <x v="2"/>
    <x v="4"/>
    <n v="18433"/>
    <n v="7"/>
    <s v="Tablet"/>
    <s v="East"/>
    <n v="129031"/>
  </r>
  <r>
    <s v="ORD31138"/>
    <x v="332"/>
    <x v="0"/>
    <x v="4"/>
    <n v="21502"/>
    <n v="1"/>
    <s v="Tablet"/>
    <s v="South"/>
    <n v="21502"/>
  </r>
  <r>
    <s v="ORD31139"/>
    <x v="138"/>
    <x v="1"/>
    <x v="2"/>
    <n v="27660"/>
    <n v="8"/>
    <s v="Phone"/>
    <s v="West"/>
    <n v="221280"/>
  </r>
  <r>
    <s v="ORD31140"/>
    <x v="79"/>
    <x v="3"/>
    <x v="4"/>
    <n v="3155"/>
    <n v="4"/>
    <s v="Tablet"/>
    <s v="North"/>
    <n v="12620"/>
  </r>
  <r>
    <s v="ORD31141"/>
    <x v="142"/>
    <x v="3"/>
    <x v="3"/>
    <n v="30910"/>
    <n v="1"/>
    <s v="Laptop"/>
    <s v="North"/>
    <n v="30910"/>
  </r>
  <r>
    <s v="ORD31142"/>
    <x v="290"/>
    <x v="0"/>
    <x v="0"/>
    <n v="47548"/>
    <n v="3"/>
    <s v="Monitor"/>
    <s v="South"/>
    <n v="142644"/>
  </r>
  <r>
    <s v="ORD31144"/>
    <x v="315"/>
    <x v="3"/>
    <x v="3"/>
    <n v="32157"/>
    <n v="3"/>
    <s v="Laptop"/>
    <s v="North"/>
    <n v="96471"/>
  </r>
  <r>
    <s v="ORD31145"/>
    <x v="156"/>
    <x v="2"/>
    <x v="0"/>
    <n v="27055"/>
    <n v="7"/>
    <s v="Monitor"/>
    <s v="East"/>
    <n v="189385"/>
  </r>
  <r>
    <s v="ORD31146"/>
    <x v="279"/>
    <x v="0"/>
    <x v="3"/>
    <n v="29290"/>
    <n v="8"/>
    <s v="Laptop"/>
    <s v="South"/>
    <n v="234320"/>
  </r>
  <r>
    <s v="ORD31146"/>
    <x v="279"/>
    <x v="0"/>
    <x v="3"/>
    <n v="29290"/>
    <n v="8"/>
    <s v="Laptop"/>
    <s v="South"/>
    <n v="234320"/>
  </r>
  <r>
    <s v="ORD31148"/>
    <x v="160"/>
    <x v="3"/>
    <x v="4"/>
    <n v="31903"/>
    <n v="1"/>
    <s v="Tablet"/>
    <s v="North"/>
    <n v="31903"/>
  </r>
  <r>
    <s v="ORD31149"/>
    <x v="294"/>
    <x v="3"/>
    <x v="4"/>
    <n v="36392"/>
    <n v="9"/>
    <s v="Tablet"/>
    <s v="North"/>
    <n v="327528"/>
  </r>
  <r>
    <s v="ORD31150"/>
    <x v="333"/>
    <x v="1"/>
    <x v="1"/>
    <n v="21163"/>
    <n v="5"/>
    <s v="Headphones"/>
    <s v="West"/>
    <n v="105815"/>
  </r>
  <r>
    <s v="ORD31152"/>
    <x v="8"/>
    <x v="0"/>
    <x v="4"/>
    <n v="48618"/>
    <n v="2"/>
    <s v="Tablet"/>
    <s v="South"/>
    <n v="97236"/>
  </r>
  <r>
    <s v="ORD31153"/>
    <x v="117"/>
    <x v="3"/>
    <x v="4"/>
    <n v="25621"/>
    <n v="5"/>
    <s v="Tablet"/>
    <s v="North"/>
    <n v="128105"/>
  </r>
  <r>
    <s v="ORD31154"/>
    <x v="28"/>
    <x v="1"/>
    <x v="0"/>
    <n v="29728"/>
    <n v="10"/>
    <s v="Monitor"/>
    <s v="West"/>
    <n v="297280"/>
  </r>
  <r>
    <s v="ORD31155"/>
    <x v="51"/>
    <x v="1"/>
    <x v="2"/>
    <n v="44973"/>
    <n v="9"/>
    <s v="Phone"/>
    <s v="West"/>
    <n v="404757"/>
  </r>
  <r>
    <s v="ORD31156"/>
    <x v="334"/>
    <x v="0"/>
    <x v="2"/>
    <n v="29779"/>
    <n v="7"/>
    <s v="Phone"/>
    <s v="South"/>
    <n v="208453"/>
  </r>
  <r>
    <s v="ORD31158"/>
    <x v="297"/>
    <x v="3"/>
    <x v="2"/>
    <n v="10013"/>
    <n v="3"/>
    <s v="Phone"/>
    <s v="North"/>
    <n v="30039"/>
  </r>
  <r>
    <s v="ORD31160"/>
    <x v="79"/>
    <x v="0"/>
    <x v="1"/>
    <n v="18486"/>
    <n v="3"/>
    <s v="Headphones"/>
    <s v="South"/>
    <n v="55458"/>
  </r>
  <r>
    <s v="ORD31161"/>
    <x v="335"/>
    <x v="1"/>
    <x v="4"/>
    <n v="10031"/>
    <n v="10"/>
    <s v="Tablet"/>
    <s v="West"/>
    <n v="100310"/>
  </r>
  <r>
    <s v="ORD31162"/>
    <x v="308"/>
    <x v="1"/>
    <x v="0"/>
    <n v="8462"/>
    <n v="10"/>
    <s v="Monitor"/>
    <s v="West"/>
    <n v="84620"/>
  </r>
  <r>
    <s v="ORD31163"/>
    <x v="202"/>
    <x v="0"/>
    <x v="2"/>
    <n v="14310"/>
    <n v="5"/>
    <s v="Phone"/>
    <s v="South"/>
    <n v="71550"/>
  </r>
  <r>
    <s v="ORD31164"/>
    <x v="25"/>
    <x v="3"/>
    <x v="0"/>
    <n v="43488"/>
    <n v="6"/>
    <s v="Monitor"/>
    <s v="North"/>
    <n v="260928"/>
  </r>
  <r>
    <s v="ORD31165"/>
    <x v="103"/>
    <x v="3"/>
    <x v="1"/>
    <n v="34438"/>
    <n v="2"/>
    <s v="Headphones"/>
    <s v="North"/>
    <n v="68876"/>
  </r>
  <r>
    <s v="ORD31166"/>
    <x v="175"/>
    <x v="0"/>
    <x v="3"/>
    <n v="626"/>
    <n v="5"/>
    <s v="Laptop"/>
    <s v="South"/>
    <n v="3130"/>
  </r>
  <r>
    <s v="ORD31167"/>
    <x v="277"/>
    <x v="1"/>
    <x v="0"/>
    <n v="29393"/>
    <n v="6"/>
    <s v="Monitor"/>
    <s v="West"/>
    <n v="176358"/>
  </r>
  <r>
    <s v="ORD31169"/>
    <x v="336"/>
    <x v="3"/>
    <x v="0"/>
    <n v="8389"/>
    <n v="2"/>
    <s v="Monitor"/>
    <s v="North"/>
    <n v="16778"/>
  </r>
  <r>
    <s v="ORD31170"/>
    <x v="48"/>
    <x v="0"/>
    <x v="1"/>
    <n v="7610"/>
    <n v="10"/>
    <s v="Headphones"/>
    <s v="South"/>
    <n v="76100"/>
  </r>
  <r>
    <s v="ORD31171"/>
    <x v="199"/>
    <x v="0"/>
    <x v="3"/>
    <n v="15498"/>
    <n v="10"/>
    <s v="Laptop"/>
    <s v="South"/>
    <n v="154980"/>
  </r>
  <r>
    <s v="ORD31172"/>
    <x v="184"/>
    <x v="3"/>
    <x v="1"/>
    <n v="10322"/>
    <n v="2"/>
    <s v="Headphones"/>
    <s v="North"/>
    <n v="20644"/>
  </r>
  <r>
    <s v="ORD31173"/>
    <x v="84"/>
    <x v="1"/>
    <x v="0"/>
    <n v="22272"/>
    <n v="5"/>
    <s v="Monitor"/>
    <s v="West"/>
    <n v="111360"/>
  </r>
  <r>
    <s v="ORD31174"/>
    <x v="308"/>
    <x v="0"/>
    <x v="1"/>
    <n v="38026"/>
    <n v="2"/>
    <s v="Headphones"/>
    <s v="South"/>
    <n v="76052"/>
  </r>
  <r>
    <s v="ORD31175"/>
    <x v="158"/>
    <x v="3"/>
    <x v="4"/>
    <n v="44990"/>
    <n v="8"/>
    <s v="Tablet"/>
    <s v="North"/>
    <n v="359920"/>
  </r>
  <r>
    <s v="ORD31176"/>
    <x v="77"/>
    <x v="1"/>
    <x v="1"/>
    <n v="8915"/>
    <n v="5"/>
    <s v="Headphones"/>
    <s v="West"/>
    <n v="44575"/>
  </r>
  <r>
    <s v="ORD31178"/>
    <x v="288"/>
    <x v="0"/>
    <x v="3"/>
    <n v="41814"/>
    <n v="1"/>
    <s v="Laptop"/>
    <s v="South"/>
    <n v="41814"/>
  </r>
  <r>
    <s v="ORD31179"/>
    <x v="177"/>
    <x v="3"/>
    <x v="3"/>
    <n v="44263"/>
    <n v="1"/>
    <s v="Laptop"/>
    <s v="North"/>
    <n v="44263"/>
  </r>
  <r>
    <s v="ORD31180"/>
    <x v="286"/>
    <x v="0"/>
    <x v="1"/>
    <n v="27179"/>
    <n v="6"/>
    <s v="Headphones"/>
    <s v="South"/>
    <n v="163074"/>
  </r>
  <r>
    <s v="ORD31182"/>
    <x v="3"/>
    <x v="2"/>
    <x v="1"/>
    <n v="398"/>
    <n v="3"/>
    <s v="Headphones"/>
    <s v="East"/>
    <n v="1194"/>
  </r>
  <r>
    <s v="ORD31183"/>
    <x v="285"/>
    <x v="0"/>
    <x v="0"/>
    <n v="9675"/>
    <n v="8"/>
    <s v="Monitor"/>
    <s v="South"/>
    <n v="77400"/>
  </r>
  <r>
    <s v="ORD31184"/>
    <x v="19"/>
    <x v="0"/>
    <x v="0"/>
    <n v="20226"/>
    <n v="4"/>
    <s v="Monitor"/>
    <s v="South"/>
    <n v="80904"/>
  </r>
  <r>
    <s v="ORD31185"/>
    <x v="267"/>
    <x v="2"/>
    <x v="2"/>
    <n v="14762"/>
    <n v="9"/>
    <s v="Phone"/>
    <s v="East"/>
    <n v="132858"/>
  </r>
  <r>
    <s v="ORD31186"/>
    <x v="120"/>
    <x v="1"/>
    <x v="2"/>
    <n v="34541"/>
    <n v="5"/>
    <s v="Phone"/>
    <s v="West"/>
    <n v="172705"/>
  </r>
  <r>
    <s v="ORD31187"/>
    <x v="28"/>
    <x v="2"/>
    <x v="3"/>
    <n v="31663"/>
    <n v="1"/>
    <s v="Laptop"/>
    <s v="East"/>
    <n v="31663"/>
  </r>
  <r>
    <s v="ORD31188"/>
    <x v="287"/>
    <x v="0"/>
    <x v="3"/>
    <n v="39897"/>
    <n v="1"/>
    <s v="Laptop"/>
    <s v="South"/>
    <n v="39897"/>
  </r>
  <r>
    <s v="ORD31191"/>
    <x v="325"/>
    <x v="2"/>
    <x v="1"/>
    <n v="3668"/>
    <n v="6"/>
    <s v="Headphones"/>
    <s v="East"/>
    <n v="22008"/>
  </r>
  <r>
    <s v="ORD31192"/>
    <x v="134"/>
    <x v="3"/>
    <x v="2"/>
    <n v="7055"/>
    <n v="8"/>
    <s v="Phone"/>
    <s v="North"/>
    <n v="56440"/>
  </r>
  <r>
    <s v="ORD31193"/>
    <x v="214"/>
    <x v="3"/>
    <x v="4"/>
    <n v="25661"/>
    <n v="5"/>
    <s v="Tablet"/>
    <s v="North"/>
    <n v="128305"/>
  </r>
  <r>
    <s v="ORD31196"/>
    <x v="83"/>
    <x v="2"/>
    <x v="2"/>
    <n v="11423"/>
    <n v="6"/>
    <s v="Phone"/>
    <s v="East"/>
    <n v="68538"/>
  </r>
  <r>
    <s v="ORD31198"/>
    <x v="117"/>
    <x v="0"/>
    <x v="2"/>
    <n v="64"/>
    <n v="4"/>
    <s v="Phone"/>
    <s v="South"/>
    <n v="2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FFF48E-E7E8-48CB-B0CD-07CD77CCCF3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3:I19" firstHeaderRow="1" firstDataRow="1" firstDataCol="1"/>
  <pivotFields count="12">
    <pivotField showAll="0"/>
    <pivotField numFmtId="14" showAll="0">
      <items count="338">
        <item x="160"/>
        <item x="253"/>
        <item x="17"/>
        <item x="20"/>
        <item x="332"/>
        <item x="59"/>
        <item x="124"/>
        <item x="246"/>
        <item x="229"/>
        <item x="316"/>
        <item x="26"/>
        <item x="47"/>
        <item x="126"/>
        <item x="68"/>
        <item x="104"/>
        <item x="333"/>
        <item x="148"/>
        <item x="180"/>
        <item x="52"/>
        <item x="244"/>
        <item x="36"/>
        <item x="75"/>
        <item x="227"/>
        <item x="199"/>
        <item x="24"/>
        <item x="95"/>
        <item x="79"/>
        <item x="293"/>
        <item x="19"/>
        <item x="189"/>
        <item x="290"/>
        <item x="133"/>
        <item x="191"/>
        <item x="151"/>
        <item x="73"/>
        <item x="206"/>
        <item x="173"/>
        <item x="251"/>
        <item x="21"/>
        <item x="252"/>
        <item x="298"/>
        <item x="239"/>
        <item x="134"/>
        <item x="319"/>
        <item x="154"/>
        <item x="60"/>
        <item x="8"/>
        <item x="117"/>
        <item x="41"/>
        <item x="6"/>
        <item x="102"/>
        <item x="43"/>
        <item x="76"/>
        <item x="247"/>
        <item x="139"/>
        <item x="314"/>
        <item x="323"/>
        <item x="74"/>
        <item x="200"/>
        <item x="240"/>
        <item x="150"/>
        <item x="33"/>
        <item x="32"/>
        <item x="29"/>
        <item x="118"/>
        <item x="87"/>
        <item x="321"/>
        <item x="97"/>
        <item x="168"/>
        <item x="235"/>
        <item x="278"/>
        <item x="311"/>
        <item x="109"/>
        <item x="238"/>
        <item x="285"/>
        <item x="287"/>
        <item x="220"/>
        <item x="14"/>
        <item x="123"/>
        <item x="262"/>
        <item x="176"/>
        <item x="174"/>
        <item x="309"/>
        <item x="28"/>
        <item x="300"/>
        <item x="306"/>
        <item x="192"/>
        <item x="296"/>
        <item x="113"/>
        <item x="207"/>
        <item x="307"/>
        <item x="89"/>
        <item x="49"/>
        <item x="161"/>
        <item x="197"/>
        <item x="115"/>
        <item x="94"/>
        <item x="110"/>
        <item x="108"/>
        <item x="138"/>
        <item x="211"/>
        <item x="245"/>
        <item x="237"/>
        <item x="96"/>
        <item x="225"/>
        <item x="144"/>
        <item x="222"/>
        <item x="201"/>
        <item x="327"/>
        <item x="90"/>
        <item x="0"/>
        <item x="116"/>
        <item x="155"/>
        <item x="258"/>
        <item x="129"/>
        <item x="325"/>
        <item x="215"/>
        <item x="291"/>
        <item x="35"/>
        <item x="137"/>
        <item x="3"/>
        <item x="304"/>
        <item x="25"/>
        <item x="121"/>
        <item x="336"/>
        <item x="308"/>
        <item x="194"/>
        <item x="163"/>
        <item x="203"/>
        <item x="257"/>
        <item x="179"/>
        <item x="153"/>
        <item x="183"/>
        <item x="223"/>
        <item x="65"/>
        <item x="120"/>
        <item x="284"/>
        <item x="54"/>
        <item x="9"/>
        <item x="131"/>
        <item x="224"/>
        <item x="289"/>
        <item x="288"/>
        <item x="205"/>
        <item x="265"/>
        <item x="140"/>
        <item x="330"/>
        <item x="15"/>
        <item x="71"/>
        <item x="100"/>
        <item x="164"/>
        <item x="81"/>
        <item x="248"/>
        <item x="263"/>
        <item x="196"/>
        <item x="216"/>
        <item x="122"/>
        <item x="4"/>
        <item x="7"/>
        <item x="82"/>
        <item x="156"/>
        <item x="48"/>
        <item x="53"/>
        <item x="250"/>
        <item x="165"/>
        <item x="159"/>
        <item x="177"/>
        <item x="193"/>
        <item x="149"/>
        <item x="22"/>
        <item x="282"/>
        <item x="86"/>
        <item x="93"/>
        <item x="187"/>
        <item x="99"/>
        <item x="170"/>
        <item x="167"/>
        <item x="271"/>
        <item x="12"/>
        <item x="61"/>
        <item x="84"/>
        <item x="45"/>
        <item x="55"/>
        <item x="2"/>
        <item x="85"/>
        <item x="44"/>
        <item x="274"/>
        <item x="218"/>
        <item x="72"/>
        <item x="34"/>
        <item x="270"/>
        <item x="261"/>
        <item x="185"/>
        <item x="236"/>
        <item x="210"/>
        <item x="188"/>
        <item x="217"/>
        <item x="277"/>
        <item x="171"/>
        <item x="83"/>
        <item x="266"/>
        <item x="135"/>
        <item x="335"/>
        <item x="63"/>
        <item x="70"/>
        <item x="13"/>
        <item x="230"/>
        <item x="143"/>
        <item x="103"/>
        <item x="136"/>
        <item x="127"/>
        <item x="98"/>
        <item x="51"/>
        <item x="57"/>
        <item x="37"/>
        <item x="329"/>
        <item x="11"/>
        <item x="276"/>
        <item x="198"/>
        <item x="50"/>
        <item x="267"/>
        <item x="233"/>
        <item x="1"/>
        <item x="178"/>
        <item x="212"/>
        <item x="77"/>
        <item x="331"/>
        <item x="302"/>
        <item x="209"/>
        <item x="58"/>
        <item x="242"/>
        <item x="88"/>
        <item x="112"/>
        <item x="254"/>
        <item x="322"/>
        <item x="228"/>
        <item x="294"/>
        <item x="46"/>
        <item x="324"/>
        <item x="42"/>
        <item x="305"/>
        <item x="279"/>
        <item x="243"/>
        <item x="190"/>
        <item x="157"/>
        <item x="31"/>
        <item x="16"/>
        <item x="147"/>
        <item x="315"/>
        <item x="299"/>
        <item x="175"/>
        <item x="39"/>
        <item x="78"/>
        <item x="91"/>
        <item x="119"/>
        <item x="214"/>
        <item x="182"/>
        <item x="255"/>
        <item x="310"/>
        <item x="328"/>
        <item x="234"/>
        <item x="318"/>
        <item x="202"/>
        <item x="260"/>
        <item x="101"/>
        <item x="334"/>
        <item x="132"/>
        <item x="27"/>
        <item x="268"/>
        <item x="23"/>
        <item x="30"/>
        <item x="232"/>
        <item x="312"/>
        <item x="221"/>
        <item x="264"/>
        <item x="111"/>
        <item x="213"/>
        <item x="38"/>
        <item x="128"/>
        <item x="259"/>
        <item x="280"/>
        <item x="275"/>
        <item x="273"/>
        <item x="67"/>
        <item x="317"/>
        <item x="283"/>
        <item x="114"/>
        <item x="64"/>
        <item x="172"/>
        <item x="141"/>
        <item x="301"/>
        <item x="297"/>
        <item x="281"/>
        <item x="166"/>
        <item x="105"/>
        <item x="92"/>
        <item x="269"/>
        <item x="66"/>
        <item x="158"/>
        <item x="295"/>
        <item x="231"/>
        <item x="40"/>
        <item x="219"/>
        <item x="130"/>
        <item x="241"/>
        <item x="249"/>
        <item x="5"/>
        <item x="326"/>
        <item x="272"/>
        <item x="195"/>
        <item x="226"/>
        <item x="69"/>
        <item x="292"/>
        <item x="320"/>
        <item x="162"/>
        <item x="142"/>
        <item x="186"/>
        <item x="125"/>
        <item x="10"/>
        <item x="208"/>
        <item x="107"/>
        <item x="80"/>
        <item x="62"/>
        <item x="146"/>
        <item x="184"/>
        <item x="56"/>
        <item x="18"/>
        <item x="204"/>
        <item x="106"/>
        <item x="303"/>
        <item x="152"/>
        <item x="169"/>
        <item x="256"/>
        <item x="181"/>
        <item x="145"/>
        <item x="286"/>
        <item x="313"/>
        <item t="default"/>
      </items>
    </pivotField>
    <pivotField showAll="0"/>
    <pivotField axis="axisRow" showAll="0" sortType="descending">
      <items count="6">
        <item x="1"/>
        <item x="3"/>
        <item x="0"/>
        <item x="2"/>
        <item x="4"/>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4">
        <item x="0"/>
        <item x="1"/>
        <item x="2"/>
        <item x="3"/>
      </items>
    </pivotField>
  </pivotFields>
  <rowFields count="1">
    <field x="3"/>
  </rowFields>
  <rowItems count="6">
    <i>
      <x v="2"/>
    </i>
    <i>
      <x v="3"/>
    </i>
    <i>
      <x v="4"/>
    </i>
    <i>
      <x v="1"/>
    </i>
    <i>
      <x/>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308AB6-9B18-41E9-9EB0-A825CC41621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H6:I11" firstHeaderRow="1" firstDataRow="1" firstDataCol="1"/>
  <pivotFields count="12">
    <pivotField showAll="0"/>
    <pivotField numFmtId="14" showAll="0">
      <items count="338">
        <item x="160"/>
        <item x="253"/>
        <item x="17"/>
        <item x="20"/>
        <item x="332"/>
        <item x="59"/>
        <item x="124"/>
        <item x="246"/>
        <item x="229"/>
        <item x="316"/>
        <item x="26"/>
        <item x="47"/>
        <item x="126"/>
        <item x="68"/>
        <item x="104"/>
        <item x="333"/>
        <item x="148"/>
        <item x="180"/>
        <item x="52"/>
        <item x="244"/>
        <item x="36"/>
        <item x="75"/>
        <item x="227"/>
        <item x="199"/>
        <item x="24"/>
        <item x="95"/>
        <item x="79"/>
        <item x="293"/>
        <item x="19"/>
        <item x="189"/>
        <item x="290"/>
        <item x="133"/>
        <item x="191"/>
        <item x="151"/>
        <item x="73"/>
        <item x="206"/>
        <item x="173"/>
        <item x="251"/>
        <item x="21"/>
        <item x="252"/>
        <item x="298"/>
        <item x="239"/>
        <item x="134"/>
        <item x="319"/>
        <item x="154"/>
        <item x="60"/>
        <item x="8"/>
        <item x="117"/>
        <item x="41"/>
        <item x="6"/>
        <item x="102"/>
        <item x="43"/>
        <item x="76"/>
        <item x="247"/>
        <item x="139"/>
        <item x="314"/>
        <item x="323"/>
        <item x="74"/>
        <item x="200"/>
        <item x="240"/>
        <item x="150"/>
        <item x="33"/>
        <item x="32"/>
        <item x="29"/>
        <item x="118"/>
        <item x="87"/>
        <item x="321"/>
        <item x="97"/>
        <item x="168"/>
        <item x="235"/>
        <item x="278"/>
        <item x="311"/>
        <item x="109"/>
        <item x="238"/>
        <item x="285"/>
        <item x="287"/>
        <item x="220"/>
        <item x="14"/>
        <item x="123"/>
        <item x="262"/>
        <item x="176"/>
        <item x="174"/>
        <item x="309"/>
        <item x="28"/>
        <item x="300"/>
        <item x="306"/>
        <item x="192"/>
        <item x="296"/>
        <item x="113"/>
        <item x="207"/>
        <item x="307"/>
        <item x="89"/>
        <item x="49"/>
        <item x="161"/>
        <item x="197"/>
        <item x="115"/>
        <item x="94"/>
        <item x="110"/>
        <item x="108"/>
        <item x="138"/>
        <item x="211"/>
        <item x="245"/>
        <item x="237"/>
        <item x="96"/>
        <item x="225"/>
        <item x="144"/>
        <item x="222"/>
        <item x="201"/>
        <item x="327"/>
        <item x="90"/>
        <item x="0"/>
        <item x="116"/>
        <item x="155"/>
        <item x="258"/>
        <item x="129"/>
        <item x="325"/>
        <item x="215"/>
        <item x="291"/>
        <item x="35"/>
        <item x="137"/>
        <item x="3"/>
        <item x="304"/>
        <item x="25"/>
        <item x="121"/>
        <item x="336"/>
        <item x="308"/>
        <item x="194"/>
        <item x="163"/>
        <item x="203"/>
        <item x="257"/>
        <item x="179"/>
        <item x="153"/>
        <item x="183"/>
        <item x="223"/>
        <item x="65"/>
        <item x="120"/>
        <item x="284"/>
        <item x="54"/>
        <item x="9"/>
        <item x="131"/>
        <item x="224"/>
        <item x="289"/>
        <item x="288"/>
        <item x="205"/>
        <item x="265"/>
        <item x="140"/>
        <item x="330"/>
        <item x="15"/>
        <item x="71"/>
        <item x="100"/>
        <item x="164"/>
        <item x="81"/>
        <item x="248"/>
        <item x="263"/>
        <item x="196"/>
        <item x="216"/>
        <item x="122"/>
        <item x="4"/>
        <item x="7"/>
        <item x="82"/>
        <item x="156"/>
        <item x="48"/>
        <item x="53"/>
        <item x="250"/>
        <item x="165"/>
        <item x="159"/>
        <item x="177"/>
        <item x="193"/>
        <item x="149"/>
        <item x="22"/>
        <item x="282"/>
        <item x="86"/>
        <item x="93"/>
        <item x="187"/>
        <item x="99"/>
        <item x="170"/>
        <item x="167"/>
        <item x="271"/>
        <item x="12"/>
        <item x="61"/>
        <item x="84"/>
        <item x="45"/>
        <item x="55"/>
        <item x="2"/>
        <item x="85"/>
        <item x="44"/>
        <item x="274"/>
        <item x="218"/>
        <item x="72"/>
        <item x="34"/>
        <item x="270"/>
        <item x="261"/>
        <item x="185"/>
        <item x="236"/>
        <item x="210"/>
        <item x="188"/>
        <item x="217"/>
        <item x="277"/>
        <item x="171"/>
        <item x="83"/>
        <item x="266"/>
        <item x="135"/>
        <item x="335"/>
        <item x="63"/>
        <item x="70"/>
        <item x="13"/>
        <item x="230"/>
        <item x="143"/>
        <item x="103"/>
        <item x="136"/>
        <item x="127"/>
        <item x="98"/>
        <item x="51"/>
        <item x="57"/>
        <item x="37"/>
        <item x="329"/>
        <item x="11"/>
        <item x="276"/>
        <item x="198"/>
        <item x="50"/>
        <item x="267"/>
        <item x="233"/>
        <item x="1"/>
        <item x="178"/>
        <item x="212"/>
        <item x="77"/>
        <item x="331"/>
        <item x="302"/>
        <item x="209"/>
        <item x="58"/>
        <item x="242"/>
        <item x="88"/>
        <item x="112"/>
        <item x="254"/>
        <item x="322"/>
        <item x="228"/>
        <item x="294"/>
        <item x="46"/>
        <item x="324"/>
        <item x="42"/>
        <item x="305"/>
        <item x="279"/>
        <item x="243"/>
        <item x="190"/>
        <item x="157"/>
        <item x="31"/>
        <item x="16"/>
        <item x="147"/>
        <item x="315"/>
        <item x="299"/>
        <item x="175"/>
        <item x="39"/>
        <item x="78"/>
        <item x="91"/>
        <item x="119"/>
        <item x="214"/>
        <item x="182"/>
        <item x="255"/>
        <item x="310"/>
        <item x="328"/>
        <item x="234"/>
        <item x="318"/>
        <item x="202"/>
        <item x="260"/>
        <item x="101"/>
        <item x="334"/>
        <item x="132"/>
        <item x="27"/>
        <item x="268"/>
        <item x="23"/>
        <item x="30"/>
        <item x="232"/>
        <item x="312"/>
        <item x="221"/>
        <item x="264"/>
        <item x="111"/>
        <item x="213"/>
        <item x="38"/>
        <item x="128"/>
        <item x="259"/>
        <item x="280"/>
        <item x="275"/>
        <item x="273"/>
        <item x="67"/>
        <item x="317"/>
        <item x="283"/>
        <item x="114"/>
        <item x="64"/>
        <item x="172"/>
        <item x="141"/>
        <item x="301"/>
        <item x="297"/>
        <item x="281"/>
        <item x="166"/>
        <item x="105"/>
        <item x="92"/>
        <item x="269"/>
        <item x="66"/>
        <item x="158"/>
        <item x="295"/>
        <item x="231"/>
        <item x="40"/>
        <item x="219"/>
        <item x="130"/>
        <item x="241"/>
        <item x="249"/>
        <item x="5"/>
        <item x="326"/>
        <item x="272"/>
        <item x="195"/>
        <item x="226"/>
        <item x="69"/>
        <item x="292"/>
        <item x="320"/>
        <item x="162"/>
        <item x="142"/>
        <item x="186"/>
        <item x="125"/>
        <item x="10"/>
        <item x="208"/>
        <item x="107"/>
        <item x="80"/>
        <item x="62"/>
        <item x="146"/>
        <item x="184"/>
        <item x="56"/>
        <item x="18"/>
        <item x="204"/>
        <item x="106"/>
        <item x="303"/>
        <item x="152"/>
        <item x="169"/>
        <item x="256"/>
        <item x="181"/>
        <item x="145"/>
        <item x="286"/>
        <item x="313"/>
        <item t="default"/>
      </items>
    </pivotField>
    <pivotField axis="axisRow" showAll="0">
      <items count="5">
        <item sd="0" x="0"/>
        <item sd="0" x="1"/>
        <item sd="0" x="3"/>
        <item sd="0" x="2"/>
        <item t="default"/>
      </items>
    </pivotField>
    <pivotField axis="axisRow" dataField="1" showAll="0">
      <items count="6">
        <item x="1"/>
        <item x="3"/>
        <item x="0"/>
        <item x="2"/>
        <item x="4"/>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2">
    <field x="2"/>
    <field x="3"/>
  </rowFields>
  <rowItems count="5">
    <i>
      <x/>
    </i>
    <i>
      <x v="1"/>
    </i>
    <i>
      <x v="2"/>
    </i>
    <i>
      <x v="3"/>
    </i>
    <i t="grand">
      <x/>
    </i>
  </rowItems>
  <colItems count="1">
    <i/>
  </colItems>
  <dataFields count="1">
    <dataField name="Count of Product" fld="3"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5BE342-C600-48C9-8A54-39C452720B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location ref="D13:E19" firstHeaderRow="1" firstDataRow="1" firstDataCol="1"/>
  <pivotFields count="12">
    <pivotField showAll="0"/>
    <pivotField numFmtId="14" showAll="0">
      <items count="338">
        <item x="160"/>
        <item x="253"/>
        <item x="17"/>
        <item x="20"/>
        <item x="332"/>
        <item x="59"/>
        <item x="124"/>
        <item x="246"/>
        <item x="229"/>
        <item x="316"/>
        <item x="26"/>
        <item x="47"/>
        <item x="126"/>
        <item x="68"/>
        <item x="104"/>
        <item x="333"/>
        <item x="148"/>
        <item x="180"/>
        <item x="52"/>
        <item x="244"/>
        <item x="36"/>
        <item x="75"/>
        <item x="227"/>
        <item x="199"/>
        <item x="24"/>
        <item x="95"/>
        <item x="79"/>
        <item x="293"/>
        <item x="19"/>
        <item x="189"/>
        <item x="290"/>
        <item x="133"/>
        <item x="191"/>
        <item x="151"/>
        <item x="73"/>
        <item x="206"/>
        <item x="173"/>
        <item x="251"/>
        <item x="21"/>
        <item x="252"/>
        <item x="298"/>
        <item x="239"/>
        <item x="134"/>
        <item x="319"/>
        <item x="154"/>
        <item x="60"/>
        <item x="8"/>
        <item x="117"/>
        <item x="41"/>
        <item x="6"/>
        <item x="102"/>
        <item x="43"/>
        <item x="76"/>
        <item x="247"/>
        <item x="139"/>
        <item x="314"/>
        <item x="323"/>
        <item x="74"/>
        <item x="200"/>
        <item x="240"/>
        <item x="150"/>
        <item x="33"/>
        <item x="32"/>
        <item x="29"/>
        <item x="118"/>
        <item x="87"/>
        <item x="321"/>
        <item x="97"/>
        <item x="168"/>
        <item x="235"/>
        <item x="278"/>
        <item x="311"/>
        <item x="109"/>
        <item x="238"/>
        <item x="285"/>
        <item x="287"/>
        <item x="220"/>
        <item x="14"/>
        <item x="123"/>
        <item x="262"/>
        <item x="176"/>
        <item x="174"/>
        <item x="309"/>
        <item x="28"/>
        <item x="300"/>
        <item x="306"/>
        <item x="192"/>
        <item x="296"/>
        <item x="113"/>
        <item x="207"/>
        <item x="307"/>
        <item x="89"/>
        <item x="49"/>
        <item x="161"/>
        <item x="197"/>
        <item x="115"/>
        <item x="94"/>
        <item x="110"/>
        <item x="108"/>
        <item x="138"/>
        <item x="211"/>
        <item x="245"/>
        <item x="237"/>
        <item x="96"/>
        <item x="225"/>
        <item x="144"/>
        <item x="222"/>
        <item x="201"/>
        <item x="327"/>
        <item x="90"/>
        <item x="0"/>
        <item x="116"/>
        <item x="155"/>
        <item x="258"/>
        <item x="129"/>
        <item x="325"/>
        <item x="215"/>
        <item x="291"/>
        <item x="35"/>
        <item x="137"/>
        <item x="3"/>
        <item x="304"/>
        <item x="25"/>
        <item x="121"/>
        <item x="336"/>
        <item x="308"/>
        <item x="194"/>
        <item x="163"/>
        <item x="203"/>
        <item x="257"/>
        <item x="179"/>
        <item x="153"/>
        <item x="183"/>
        <item x="223"/>
        <item x="65"/>
        <item x="120"/>
        <item x="284"/>
        <item x="54"/>
        <item x="9"/>
        <item x="131"/>
        <item x="224"/>
        <item x="289"/>
        <item x="288"/>
        <item x="205"/>
        <item x="265"/>
        <item x="140"/>
        <item x="330"/>
        <item x="15"/>
        <item x="71"/>
        <item x="100"/>
        <item x="164"/>
        <item x="81"/>
        <item x="248"/>
        <item x="263"/>
        <item x="196"/>
        <item x="216"/>
        <item x="122"/>
        <item x="4"/>
        <item x="7"/>
        <item x="82"/>
        <item x="156"/>
        <item x="48"/>
        <item x="53"/>
        <item x="250"/>
        <item x="165"/>
        <item x="159"/>
        <item x="177"/>
        <item x="193"/>
        <item x="149"/>
        <item x="22"/>
        <item x="282"/>
        <item x="86"/>
        <item x="93"/>
        <item x="187"/>
        <item x="99"/>
        <item x="170"/>
        <item x="167"/>
        <item x="271"/>
        <item x="12"/>
        <item x="61"/>
        <item x="84"/>
        <item x="45"/>
        <item x="55"/>
        <item x="2"/>
        <item x="85"/>
        <item x="44"/>
        <item x="274"/>
        <item x="218"/>
        <item x="72"/>
        <item x="34"/>
        <item x="270"/>
        <item x="261"/>
        <item x="185"/>
        <item x="236"/>
        <item x="210"/>
        <item x="188"/>
        <item x="217"/>
        <item x="277"/>
        <item x="171"/>
        <item x="83"/>
        <item x="266"/>
        <item x="135"/>
        <item x="335"/>
        <item x="63"/>
        <item x="70"/>
        <item x="13"/>
        <item x="230"/>
        <item x="143"/>
        <item x="103"/>
        <item x="136"/>
        <item x="127"/>
        <item x="98"/>
        <item x="51"/>
        <item x="57"/>
        <item x="37"/>
        <item x="329"/>
        <item x="11"/>
        <item x="276"/>
        <item x="198"/>
        <item x="50"/>
        <item x="267"/>
        <item x="233"/>
        <item x="1"/>
        <item x="178"/>
        <item x="212"/>
        <item x="77"/>
        <item x="331"/>
        <item x="302"/>
        <item x="209"/>
        <item x="58"/>
        <item x="242"/>
        <item x="88"/>
        <item x="112"/>
        <item x="254"/>
        <item x="322"/>
        <item x="228"/>
        <item x="294"/>
        <item x="46"/>
        <item x="324"/>
        <item x="42"/>
        <item x="305"/>
        <item x="279"/>
        <item x="243"/>
        <item x="190"/>
        <item x="157"/>
        <item x="31"/>
        <item x="16"/>
        <item x="147"/>
        <item x="315"/>
        <item x="299"/>
        <item x="175"/>
        <item x="39"/>
        <item x="78"/>
        <item x="91"/>
        <item x="119"/>
        <item x="214"/>
        <item x="182"/>
        <item x="255"/>
        <item x="310"/>
        <item x="328"/>
        <item x="234"/>
        <item x="318"/>
        <item x="202"/>
        <item x="260"/>
        <item x="101"/>
        <item x="334"/>
        <item x="132"/>
        <item x="27"/>
        <item x="268"/>
        <item x="23"/>
        <item x="30"/>
        <item x="232"/>
        <item x="312"/>
        <item x="221"/>
        <item x="264"/>
        <item x="111"/>
        <item x="213"/>
        <item x="38"/>
        <item x="128"/>
        <item x="259"/>
        <item x="280"/>
        <item x="275"/>
        <item x="273"/>
        <item x="67"/>
        <item x="317"/>
        <item x="283"/>
        <item x="114"/>
        <item x="64"/>
        <item x="172"/>
        <item x="141"/>
        <item x="301"/>
        <item x="297"/>
        <item x="281"/>
        <item x="166"/>
        <item x="105"/>
        <item x="92"/>
        <item x="269"/>
        <item x="66"/>
        <item x="158"/>
        <item x="295"/>
        <item x="231"/>
        <item x="40"/>
        <item x="219"/>
        <item x="130"/>
        <item x="241"/>
        <item x="249"/>
        <item x="5"/>
        <item x="326"/>
        <item x="272"/>
        <item x="195"/>
        <item x="226"/>
        <item x="69"/>
        <item x="292"/>
        <item x="320"/>
        <item x="162"/>
        <item x="142"/>
        <item x="186"/>
        <item x="125"/>
        <item x="10"/>
        <item x="208"/>
        <item x="107"/>
        <item x="80"/>
        <item x="62"/>
        <item x="146"/>
        <item x="184"/>
        <item x="56"/>
        <item x="18"/>
        <item x="204"/>
        <item x="106"/>
        <item x="303"/>
        <item x="152"/>
        <item x="169"/>
        <item x="256"/>
        <item x="181"/>
        <item x="145"/>
        <item x="286"/>
        <item x="313"/>
        <item t="default"/>
      </items>
    </pivotField>
    <pivotField showAll="0">
      <items count="5">
        <item x="0"/>
        <item x="1"/>
        <item x="3"/>
        <item x="2"/>
        <item t="default"/>
      </items>
    </pivotField>
    <pivotField axis="axisRow" showAll="0" sortType="descending">
      <items count="6">
        <item x="1"/>
        <item x="3"/>
        <item x="0"/>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6">
    <i>
      <x v="2"/>
    </i>
    <i>
      <x v="4"/>
    </i>
    <i>
      <x v="3"/>
    </i>
    <i>
      <x v="1"/>
    </i>
    <i>
      <x/>
    </i>
    <i t="grand">
      <x/>
    </i>
  </rowItems>
  <colItems count="1">
    <i/>
  </colItems>
  <dataFields count="1">
    <dataField name="Sum of Revenue" fld="8" baseField="0" baseItem="0" numFmtId="164"/>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78F09F-0545-46BE-A02E-503AF195A58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egion">
  <location ref="A12:B17" firstHeaderRow="1" firstDataRow="1" firstDataCol="1"/>
  <pivotFields count="12">
    <pivotField showAll="0"/>
    <pivotField numFmtId="14" showAll="0">
      <items count="338">
        <item x="160"/>
        <item x="253"/>
        <item x="17"/>
        <item x="20"/>
        <item x="332"/>
        <item x="59"/>
        <item x="124"/>
        <item x="246"/>
        <item x="229"/>
        <item x="316"/>
        <item x="26"/>
        <item x="47"/>
        <item x="126"/>
        <item x="68"/>
        <item x="104"/>
        <item x="333"/>
        <item x="148"/>
        <item x="180"/>
        <item x="52"/>
        <item x="244"/>
        <item x="36"/>
        <item x="75"/>
        <item x="227"/>
        <item x="199"/>
        <item x="24"/>
        <item x="95"/>
        <item x="79"/>
        <item x="293"/>
        <item x="19"/>
        <item x="189"/>
        <item x="290"/>
        <item x="133"/>
        <item x="191"/>
        <item x="151"/>
        <item x="73"/>
        <item x="206"/>
        <item x="173"/>
        <item x="251"/>
        <item x="21"/>
        <item x="252"/>
        <item x="298"/>
        <item x="239"/>
        <item x="134"/>
        <item x="319"/>
        <item x="154"/>
        <item x="60"/>
        <item x="8"/>
        <item x="117"/>
        <item x="41"/>
        <item x="6"/>
        <item x="102"/>
        <item x="43"/>
        <item x="76"/>
        <item x="247"/>
        <item x="139"/>
        <item x="314"/>
        <item x="323"/>
        <item x="74"/>
        <item x="200"/>
        <item x="240"/>
        <item x="150"/>
        <item x="33"/>
        <item x="32"/>
        <item x="29"/>
        <item x="118"/>
        <item x="87"/>
        <item x="321"/>
        <item x="97"/>
        <item x="168"/>
        <item x="235"/>
        <item x="278"/>
        <item x="311"/>
        <item x="109"/>
        <item x="238"/>
        <item x="285"/>
        <item x="287"/>
        <item x="220"/>
        <item x="14"/>
        <item x="123"/>
        <item x="262"/>
        <item x="176"/>
        <item x="174"/>
        <item x="309"/>
        <item x="28"/>
        <item x="300"/>
        <item x="306"/>
        <item x="192"/>
        <item x="296"/>
        <item x="113"/>
        <item x="207"/>
        <item x="307"/>
        <item x="89"/>
        <item x="49"/>
        <item x="161"/>
        <item x="197"/>
        <item x="115"/>
        <item x="94"/>
        <item x="110"/>
        <item x="108"/>
        <item x="138"/>
        <item x="211"/>
        <item x="245"/>
        <item x="237"/>
        <item x="96"/>
        <item x="225"/>
        <item x="144"/>
        <item x="222"/>
        <item x="201"/>
        <item x="327"/>
        <item x="90"/>
        <item x="0"/>
        <item x="116"/>
        <item x="155"/>
        <item x="258"/>
        <item x="129"/>
        <item x="325"/>
        <item x="215"/>
        <item x="291"/>
        <item x="35"/>
        <item x="137"/>
        <item x="3"/>
        <item x="304"/>
        <item x="25"/>
        <item x="121"/>
        <item x="336"/>
        <item x="308"/>
        <item x="194"/>
        <item x="163"/>
        <item x="203"/>
        <item x="257"/>
        <item x="179"/>
        <item x="153"/>
        <item x="183"/>
        <item x="223"/>
        <item x="65"/>
        <item x="120"/>
        <item x="284"/>
        <item x="54"/>
        <item x="9"/>
        <item x="131"/>
        <item x="224"/>
        <item x="289"/>
        <item x="288"/>
        <item x="205"/>
        <item x="265"/>
        <item x="140"/>
        <item x="330"/>
        <item x="15"/>
        <item x="71"/>
        <item x="100"/>
        <item x="164"/>
        <item x="81"/>
        <item x="248"/>
        <item x="263"/>
        <item x="196"/>
        <item x="216"/>
        <item x="122"/>
        <item x="4"/>
        <item x="7"/>
        <item x="82"/>
        <item x="156"/>
        <item x="48"/>
        <item x="53"/>
        <item x="250"/>
        <item x="165"/>
        <item x="159"/>
        <item x="177"/>
        <item x="193"/>
        <item x="149"/>
        <item x="22"/>
        <item x="282"/>
        <item x="86"/>
        <item x="93"/>
        <item x="187"/>
        <item x="99"/>
        <item x="170"/>
        <item x="167"/>
        <item x="271"/>
        <item x="12"/>
        <item x="61"/>
        <item x="84"/>
        <item x="45"/>
        <item x="55"/>
        <item x="2"/>
        <item x="85"/>
        <item x="44"/>
        <item x="274"/>
        <item x="218"/>
        <item x="72"/>
        <item x="34"/>
        <item x="270"/>
        <item x="261"/>
        <item x="185"/>
        <item x="236"/>
        <item x="210"/>
        <item x="188"/>
        <item x="217"/>
        <item x="277"/>
        <item x="171"/>
        <item x="83"/>
        <item x="266"/>
        <item x="135"/>
        <item x="335"/>
        <item x="63"/>
        <item x="70"/>
        <item x="13"/>
        <item x="230"/>
        <item x="143"/>
        <item x="103"/>
        <item x="136"/>
        <item x="127"/>
        <item x="98"/>
        <item x="51"/>
        <item x="57"/>
        <item x="37"/>
        <item x="329"/>
        <item x="11"/>
        <item x="276"/>
        <item x="198"/>
        <item x="50"/>
        <item x="267"/>
        <item x="233"/>
        <item x="1"/>
        <item x="178"/>
        <item x="212"/>
        <item x="77"/>
        <item x="331"/>
        <item x="302"/>
        <item x="209"/>
        <item x="58"/>
        <item x="242"/>
        <item x="88"/>
        <item x="112"/>
        <item x="254"/>
        <item x="322"/>
        <item x="228"/>
        <item x="294"/>
        <item x="46"/>
        <item x="324"/>
        <item x="42"/>
        <item x="305"/>
        <item x="279"/>
        <item x="243"/>
        <item x="190"/>
        <item x="157"/>
        <item x="31"/>
        <item x="16"/>
        <item x="147"/>
        <item x="315"/>
        <item x="299"/>
        <item x="175"/>
        <item x="39"/>
        <item x="78"/>
        <item x="91"/>
        <item x="119"/>
        <item x="214"/>
        <item x="182"/>
        <item x="255"/>
        <item x="310"/>
        <item x="328"/>
        <item x="234"/>
        <item x="318"/>
        <item x="202"/>
        <item x="260"/>
        <item x="101"/>
        <item x="334"/>
        <item x="132"/>
        <item x="27"/>
        <item x="268"/>
        <item x="23"/>
        <item x="30"/>
        <item x="232"/>
        <item x="312"/>
        <item x="221"/>
        <item x="264"/>
        <item x="111"/>
        <item x="213"/>
        <item x="38"/>
        <item x="128"/>
        <item x="259"/>
        <item x="280"/>
        <item x="275"/>
        <item x="273"/>
        <item x="67"/>
        <item x="317"/>
        <item x="283"/>
        <item x="114"/>
        <item x="64"/>
        <item x="172"/>
        <item x="141"/>
        <item x="301"/>
        <item x="297"/>
        <item x="281"/>
        <item x="166"/>
        <item x="105"/>
        <item x="92"/>
        <item x="269"/>
        <item x="66"/>
        <item x="158"/>
        <item x="295"/>
        <item x="231"/>
        <item x="40"/>
        <item x="219"/>
        <item x="130"/>
        <item x="241"/>
        <item x="249"/>
        <item x="5"/>
        <item x="326"/>
        <item x="272"/>
        <item x="195"/>
        <item x="226"/>
        <item x="69"/>
        <item x="292"/>
        <item x="320"/>
        <item x="162"/>
        <item x="142"/>
        <item x="186"/>
        <item x="125"/>
        <item x="10"/>
        <item x="208"/>
        <item x="107"/>
        <item x="80"/>
        <item x="62"/>
        <item x="146"/>
        <item x="184"/>
        <item x="56"/>
        <item x="18"/>
        <item x="204"/>
        <item x="106"/>
        <item x="303"/>
        <item x="152"/>
        <item x="169"/>
        <item x="256"/>
        <item x="181"/>
        <item x="145"/>
        <item x="286"/>
        <item x="313"/>
        <item t="default"/>
      </items>
    </pivotField>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items count="6">
        <item x="1"/>
        <item x="3"/>
        <item x="0"/>
        <item x="2"/>
        <item x="4"/>
        <item t="default"/>
      </items>
    </pivotField>
    <pivotField showAll="0"/>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2"/>
  </rowFields>
  <rowItems count="5">
    <i>
      <x v="1"/>
    </i>
    <i>
      <x v="3"/>
    </i>
    <i>
      <x/>
    </i>
    <i>
      <x v="2"/>
    </i>
    <i t="grand">
      <x/>
    </i>
  </rowItems>
  <colItems count="1">
    <i/>
  </colItems>
  <dataFields count="1">
    <dataField name="Sum of Revenue" fld="8" baseField="0" baseItem="0" numFmtId="164"/>
  </dataFields>
  <formats count="1">
    <format dxfId="1">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BE7075-CC8C-488F-AF24-BDAEE90570A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B20" firstHeaderRow="1" firstDataRow="1" firstDataCol="0"/>
  <pivotFields count="12">
    <pivotField dataField="1" showAll="0"/>
    <pivotField numFmtId="14" showAll="0">
      <items count="338">
        <item x="160"/>
        <item x="253"/>
        <item x="17"/>
        <item x="20"/>
        <item x="332"/>
        <item x="59"/>
        <item x="124"/>
        <item x="246"/>
        <item x="229"/>
        <item x="316"/>
        <item x="26"/>
        <item x="47"/>
        <item x="126"/>
        <item x="68"/>
        <item x="104"/>
        <item x="333"/>
        <item x="148"/>
        <item x="180"/>
        <item x="52"/>
        <item x="244"/>
        <item x="36"/>
        <item x="75"/>
        <item x="227"/>
        <item x="199"/>
        <item x="24"/>
        <item x="95"/>
        <item x="79"/>
        <item x="293"/>
        <item x="19"/>
        <item x="189"/>
        <item x="290"/>
        <item x="133"/>
        <item x="191"/>
        <item x="151"/>
        <item x="73"/>
        <item x="206"/>
        <item x="173"/>
        <item x="251"/>
        <item x="21"/>
        <item x="252"/>
        <item x="298"/>
        <item x="239"/>
        <item x="134"/>
        <item x="319"/>
        <item x="154"/>
        <item x="60"/>
        <item x="8"/>
        <item x="117"/>
        <item x="41"/>
        <item x="6"/>
        <item x="102"/>
        <item x="43"/>
        <item x="76"/>
        <item x="247"/>
        <item x="139"/>
        <item x="314"/>
        <item x="323"/>
        <item x="74"/>
        <item x="200"/>
        <item x="240"/>
        <item x="150"/>
        <item x="33"/>
        <item x="32"/>
        <item x="29"/>
        <item x="118"/>
        <item x="87"/>
        <item x="321"/>
        <item x="97"/>
        <item x="168"/>
        <item x="235"/>
        <item x="278"/>
        <item x="311"/>
        <item x="109"/>
        <item x="238"/>
        <item x="285"/>
        <item x="287"/>
        <item x="220"/>
        <item x="14"/>
        <item x="123"/>
        <item x="262"/>
        <item x="176"/>
        <item x="174"/>
        <item x="309"/>
        <item x="28"/>
        <item x="300"/>
        <item x="306"/>
        <item x="192"/>
        <item x="296"/>
        <item x="113"/>
        <item x="207"/>
        <item x="307"/>
        <item x="89"/>
        <item x="49"/>
        <item x="161"/>
        <item x="197"/>
        <item x="115"/>
        <item x="94"/>
        <item x="110"/>
        <item x="108"/>
        <item x="138"/>
        <item x="211"/>
        <item x="245"/>
        <item x="237"/>
        <item x="96"/>
        <item x="225"/>
        <item x="144"/>
        <item x="222"/>
        <item x="201"/>
        <item x="327"/>
        <item x="90"/>
        <item x="0"/>
        <item x="116"/>
        <item x="155"/>
        <item x="258"/>
        <item x="129"/>
        <item x="325"/>
        <item x="215"/>
        <item x="291"/>
        <item x="35"/>
        <item x="137"/>
        <item x="3"/>
        <item x="304"/>
        <item x="25"/>
        <item x="121"/>
        <item x="336"/>
        <item x="308"/>
        <item x="194"/>
        <item x="163"/>
        <item x="203"/>
        <item x="257"/>
        <item x="179"/>
        <item x="153"/>
        <item x="183"/>
        <item x="223"/>
        <item x="65"/>
        <item x="120"/>
        <item x="284"/>
        <item x="54"/>
        <item x="9"/>
        <item x="131"/>
        <item x="224"/>
        <item x="289"/>
        <item x="288"/>
        <item x="205"/>
        <item x="265"/>
        <item x="140"/>
        <item x="330"/>
        <item x="15"/>
        <item x="71"/>
        <item x="100"/>
        <item x="164"/>
        <item x="81"/>
        <item x="248"/>
        <item x="263"/>
        <item x="196"/>
        <item x="216"/>
        <item x="122"/>
        <item x="4"/>
        <item x="7"/>
        <item x="82"/>
        <item x="156"/>
        <item x="48"/>
        <item x="53"/>
        <item x="250"/>
        <item x="165"/>
        <item x="159"/>
        <item x="177"/>
        <item x="193"/>
        <item x="149"/>
        <item x="22"/>
        <item x="282"/>
        <item x="86"/>
        <item x="93"/>
        <item x="187"/>
        <item x="99"/>
        <item x="170"/>
        <item x="167"/>
        <item x="271"/>
        <item x="12"/>
        <item x="61"/>
        <item x="84"/>
        <item x="45"/>
        <item x="55"/>
        <item x="2"/>
        <item x="85"/>
        <item x="44"/>
        <item x="274"/>
        <item x="218"/>
        <item x="72"/>
        <item x="34"/>
        <item x="270"/>
        <item x="261"/>
        <item x="185"/>
        <item x="236"/>
        <item x="210"/>
        <item x="188"/>
        <item x="217"/>
        <item x="277"/>
        <item x="171"/>
        <item x="83"/>
        <item x="266"/>
        <item x="135"/>
        <item x="335"/>
        <item x="63"/>
        <item x="70"/>
        <item x="13"/>
        <item x="230"/>
        <item x="143"/>
        <item x="103"/>
        <item x="136"/>
        <item x="127"/>
        <item x="98"/>
        <item x="51"/>
        <item x="57"/>
        <item x="37"/>
        <item x="329"/>
        <item x="11"/>
        <item x="276"/>
        <item x="198"/>
        <item x="50"/>
        <item x="267"/>
        <item x="233"/>
        <item x="1"/>
        <item x="178"/>
        <item x="212"/>
        <item x="77"/>
        <item x="331"/>
        <item x="302"/>
        <item x="209"/>
        <item x="58"/>
        <item x="242"/>
        <item x="88"/>
        <item x="112"/>
        <item x="254"/>
        <item x="322"/>
        <item x="228"/>
        <item x="294"/>
        <item x="46"/>
        <item x="324"/>
        <item x="42"/>
        <item x="305"/>
        <item x="279"/>
        <item x="243"/>
        <item x="190"/>
        <item x="157"/>
        <item x="31"/>
        <item x="16"/>
        <item x="147"/>
        <item x="315"/>
        <item x="299"/>
        <item x="175"/>
        <item x="39"/>
        <item x="78"/>
        <item x="91"/>
        <item x="119"/>
        <item x="214"/>
        <item x="182"/>
        <item x="255"/>
        <item x="310"/>
        <item x="328"/>
        <item x="234"/>
        <item x="318"/>
        <item x="202"/>
        <item x="260"/>
        <item x="101"/>
        <item x="334"/>
        <item x="132"/>
        <item x="27"/>
        <item x="268"/>
        <item x="23"/>
        <item x="30"/>
        <item x="232"/>
        <item x="312"/>
        <item x="221"/>
        <item x="264"/>
        <item x="111"/>
        <item x="213"/>
        <item x="38"/>
        <item x="128"/>
        <item x="259"/>
        <item x="280"/>
        <item x="275"/>
        <item x="273"/>
        <item x="67"/>
        <item x="317"/>
        <item x="283"/>
        <item x="114"/>
        <item x="64"/>
        <item x="172"/>
        <item x="141"/>
        <item x="301"/>
        <item x="297"/>
        <item x="281"/>
        <item x="166"/>
        <item x="105"/>
        <item x="92"/>
        <item x="269"/>
        <item x="66"/>
        <item x="158"/>
        <item x="295"/>
        <item x="231"/>
        <item x="40"/>
        <item x="219"/>
        <item x="130"/>
        <item x="241"/>
        <item x="249"/>
        <item x="5"/>
        <item x="326"/>
        <item x="272"/>
        <item x="195"/>
        <item x="226"/>
        <item x="69"/>
        <item x="292"/>
        <item x="320"/>
        <item x="162"/>
        <item x="142"/>
        <item x="186"/>
        <item x="125"/>
        <item x="10"/>
        <item x="208"/>
        <item x="107"/>
        <item x="80"/>
        <item x="62"/>
        <item x="146"/>
        <item x="184"/>
        <item x="56"/>
        <item x="18"/>
        <item x="204"/>
        <item x="106"/>
        <item x="303"/>
        <item x="152"/>
        <item x="169"/>
        <item x="256"/>
        <item x="181"/>
        <item x="145"/>
        <item x="286"/>
        <item x="313"/>
        <item t="default"/>
      </items>
    </pivotField>
    <pivotField showAll="0">
      <items count="5">
        <item x="0"/>
        <item x="1"/>
        <item x="3"/>
        <item x="2"/>
        <item t="default"/>
      </items>
    </pivotField>
    <pivotField showAll="0">
      <items count="6">
        <item x="1"/>
        <item x="3"/>
        <item x="0"/>
        <item x="2"/>
        <item x="4"/>
        <item t="default"/>
      </items>
    </pivotField>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03BEB5-69E2-4A9A-AE85-B1A49492DC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L19" firstHeaderRow="1" firstDataRow="1" firstDataCol="1"/>
  <pivotFields count="12">
    <pivotField showAll="0"/>
    <pivotField axis="axisRow" numFmtId="14" showAll="0">
      <items count="338">
        <item x="160"/>
        <item x="253"/>
        <item x="17"/>
        <item x="20"/>
        <item x="332"/>
        <item x="59"/>
        <item x="124"/>
        <item x="246"/>
        <item x="229"/>
        <item x="316"/>
        <item x="26"/>
        <item x="47"/>
        <item x="126"/>
        <item x="68"/>
        <item x="104"/>
        <item x="333"/>
        <item x="148"/>
        <item x="180"/>
        <item x="52"/>
        <item x="244"/>
        <item x="36"/>
        <item x="75"/>
        <item x="227"/>
        <item x="199"/>
        <item x="24"/>
        <item x="95"/>
        <item x="79"/>
        <item x="293"/>
        <item x="19"/>
        <item x="189"/>
        <item x="290"/>
        <item x="133"/>
        <item x="191"/>
        <item x="151"/>
        <item x="73"/>
        <item x="206"/>
        <item x="173"/>
        <item x="251"/>
        <item x="21"/>
        <item x="252"/>
        <item x="298"/>
        <item x="239"/>
        <item x="134"/>
        <item x="319"/>
        <item x="154"/>
        <item x="60"/>
        <item x="8"/>
        <item x="117"/>
        <item x="41"/>
        <item x="6"/>
        <item x="102"/>
        <item x="43"/>
        <item x="76"/>
        <item x="247"/>
        <item x="139"/>
        <item x="314"/>
        <item x="323"/>
        <item x="74"/>
        <item x="200"/>
        <item x="240"/>
        <item x="150"/>
        <item x="33"/>
        <item x="32"/>
        <item x="29"/>
        <item x="118"/>
        <item x="87"/>
        <item x="321"/>
        <item x="97"/>
        <item x="168"/>
        <item x="235"/>
        <item x="278"/>
        <item x="311"/>
        <item x="109"/>
        <item x="238"/>
        <item x="285"/>
        <item x="287"/>
        <item x="220"/>
        <item x="14"/>
        <item x="123"/>
        <item x="262"/>
        <item x="176"/>
        <item x="174"/>
        <item x="309"/>
        <item x="28"/>
        <item x="300"/>
        <item x="306"/>
        <item x="192"/>
        <item x="296"/>
        <item x="113"/>
        <item x="207"/>
        <item x="307"/>
        <item x="89"/>
        <item x="49"/>
        <item x="161"/>
        <item x="197"/>
        <item x="115"/>
        <item x="94"/>
        <item x="110"/>
        <item x="108"/>
        <item x="138"/>
        <item x="211"/>
        <item x="245"/>
        <item x="237"/>
        <item x="96"/>
        <item x="225"/>
        <item x="144"/>
        <item x="222"/>
        <item x="201"/>
        <item x="327"/>
        <item x="90"/>
        <item x="0"/>
        <item x="116"/>
        <item x="155"/>
        <item x="258"/>
        <item x="129"/>
        <item x="325"/>
        <item x="215"/>
        <item x="291"/>
        <item x="35"/>
        <item x="137"/>
        <item x="3"/>
        <item x="304"/>
        <item x="25"/>
        <item x="121"/>
        <item x="336"/>
        <item x="308"/>
        <item x="194"/>
        <item x="163"/>
        <item x="203"/>
        <item x="257"/>
        <item x="179"/>
        <item x="153"/>
        <item x="183"/>
        <item x="223"/>
        <item x="65"/>
        <item x="120"/>
        <item x="284"/>
        <item x="54"/>
        <item x="9"/>
        <item x="131"/>
        <item x="224"/>
        <item x="289"/>
        <item x="288"/>
        <item x="205"/>
        <item x="265"/>
        <item x="140"/>
        <item x="330"/>
        <item x="15"/>
        <item x="71"/>
        <item x="100"/>
        <item x="164"/>
        <item x="81"/>
        <item x="248"/>
        <item x="263"/>
        <item x="196"/>
        <item x="216"/>
        <item x="122"/>
        <item x="4"/>
        <item x="7"/>
        <item x="82"/>
        <item x="156"/>
        <item x="48"/>
        <item x="53"/>
        <item x="250"/>
        <item x="165"/>
        <item x="159"/>
        <item x="177"/>
        <item x="193"/>
        <item x="149"/>
        <item x="22"/>
        <item x="282"/>
        <item x="86"/>
        <item x="93"/>
        <item x="187"/>
        <item x="99"/>
        <item x="170"/>
        <item x="167"/>
        <item x="271"/>
        <item x="12"/>
        <item x="61"/>
        <item x="84"/>
        <item x="45"/>
        <item x="55"/>
        <item x="2"/>
        <item x="85"/>
        <item x="44"/>
        <item x="274"/>
        <item x="218"/>
        <item x="72"/>
        <item x="34"/>
        <item x="270"/>
        <item x="261"/>
        <item x="185"/>
        <item x="236"/>
        <item x="210"/>
        <item x="188"/>
        <item x="217"/>
        <item x="277"/>
        <item x="171"/>
        <item x="83"/>
        <item x="266"/>
        <item x="135"/>
        <item x="335"/>
        <item x="63"/>
        <item x="70"/>
        <item x="13"/>
        <item x="230"/>
        <item x="143"/>
        <item x="103"/>
        <item x="136"/>
        <item x="127"/>
        <item x="98"/>
        <item x="51"/>
        <item x="57"/>
        <item x="37"/>
        <item x="329"/>
        <item x="11"/>
        <item x="276"/>
        <item x="198"/>
        <item x="50"/>
        <item x="267"/>
        <item x="233"/>
        <item x="1"/>
        <item x="178"/>
        <item x="212"/>
        <item x="77"/>
        <item x="331"/>
        <item x="302"/>
        <item x="209"/>
        <item x="58"/>
        <item x="242"/>
        <item x="88"/>
        <item x="112"/>
        <item x="254"/>
        <item x="322"/>
        <item x="228"/>
        <item x="294"/>
        <item x="46"/>
        <item x="324"/>
        <item x="42"/>
        <item x="305"/>
        <item x="279"/>
        <item x="243"/>
        <item x="190"/>
        <item x="157"/>
        <item x="31"/>
        <item x="16"/>
        <item x="147"/>
        <item x="315"/>
        <item x="299"/>
        <item x="175"/>
        <item x="39"/>
        <item x="78"/>
        <item x="91"/>
        <item x="119"/>
        <item x="214"/>
        <item x="182"/>
        <item x="255"/>
        <item x="310"/>
        <item x="328"/>
        <item x="234"/>
        <item x="318"/>
        <item x="202"/>
        <item x="260"/>
        <item x="101"/>
        <item x="334"/>
        <item x="132"/>
        <item x="27"/>
        <item x="268"/>
        <item x="23"/>
        <item x="30"/>
        <item x="232"/>
        <item x="312"/>
        <item x="221"/>
        <item x="264"/>
        <item x="111"/>
        <item x="213"/>
        <item x="38"/>
        <item x="128"/>
        <item x="259"/>
        <item x="280"/>
        <item x="275"/>
        <item x="273"/>
        <item x="67"/>
        <item x="317"/>
        <item x="283"/>
        <item x="114"/>
        <item x="64"/>
        <item x="172"/>
        <item x="141"/>
        <item x="301"/>
        <item x="297"/>
        <item x="281"/>
        <item x="166"/>
        <item x="105"/>
        <item x="92"/>
        <item x="269"/>
        <item x="66"/>
        <item x="158"/>
        <item x="295"/>
        <item x="231"/>
        <item x="40"/>
        <item x="219"/>
        <item x="130"/>
        <item x="241"/>
        <item x="249"/>
        <item x="5"/>
        <item x="326"/>
        <item x="272"/>
        <item x="195"/>
        <item x="226"/>
        <item x="69"/>
        <item x="292"/>
        <item x="320"/>
        <item x="162"/>
        <item x="142"/>
        <item x="186"/>
        <item x="125"/>
        <item x="10"/>
        <item x="208"/>
        <item x="107"/>
        <item x="80"/>
        <item x="62"/>
        <item x="146"/>
        <item x="184"/>
        <item x="56"/>
        <item x="18"/>
        <item x="204"/>
        <item x="106"/>
        <item x="303"/>
        <item x="152"/>
        <item x="169"/>
        <item x="256"/>
        <item x="181"/>
        <item x="145"/>
        <item x="286"/>
        <item x="313"/>
        <item t="default"/>
      </items>
    </pivotField>
    <pivotField showAll="0">
      <items count="5">
        <item x="0"/>
        <item x="1"/>
        <item x="3"/>
        <item x="2"/>
        <item t="default"/>
      </items>
    </pivotField>
    <pivotField showAll="0">
      <items count="6">
        <item x="1"/>
        <item x="3"/>
        <item x="0"/>
        <item x="2"/>
        <item x="4"/>
        <item t="default"/>
      </items>
    </pivotField>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4">
        <item sd="0" x="0"/>
        <item x="1"/>
        <item x="2"/>
        <item sd="0" x="3"/>
      </items>
    </pivotField>
  </pivotFields>
  <rowFields count="3">
    <field x="11"/>
    <field x="9"/>
    <field x="1"/>
  </rowFields>
  <rowItems count="16">
    <i>
      <x v="1"/>
    </i>
    <i r="1">
      <x v="1"/>
    </i>
    <i r="1">
      <x v="2"/>
    </i>
    <i r="1">
      <x v="3"/>
    </i>
    <i r="1">
      <x v="4"/>
    </i>
    <i r="1">
      <x v="5"/>
    </i>
    <i r="1">
      <x v="6"/>
    </i>
    <i r="1">
      <x v="7"/>
    </i>
    <i r="1">
      <x v="8"/>
    </i>
    <i r="1">
      <x v="9"/>
    </i>
    <i r="1">
      <x v="10"/>
    </i>
    <i r="1">
      <x v="11"/>
    </i>
    <i r="1">
      <x v="12"/>
    </i>
    <i>
      <x v="2"/>
    </i>
    <i r="1">
      <x v="1"/>
    </i>
    <i t="grand">
      <x/>
    </i>
  </rowItems>
  <colItems count="1">
    <i/>
  </colItems>
  <dataFields count="1">
    <dataField name="Sum of Revenue" fld="8" baseField="0" baseItem="0"/>
  </dataFields>
  <formats count="15">
    <format dxfId="16">
      <pivotArea collapsedLevelsAreSubtotals="1" fieldPosition="0">
        <references count="2">
          <reference field="9" count="1">
            <x v="1"/>
          </reference>
          <reference field="11" count="1" selected="0">
            <x v="1"/>
          </reference>
        </references>
      </pivotArea>
    </format>
    <format dxfId="15">
      <pivotArea collapsedLevelsAreSubtotals="1" fieldPosition="0">
        <references count="2">
          <reference field="9" count="1">
            <x v="2"/>
          </reference>
          <reference field="11" count="1" selected="0">
            <x v="1"/>
          </reference>
        </references>
      </pivotArea>
    </format>
    <format dxfId="14">
      <pivotArea collapsedLevelsAreSubtotals="1" fieldPosition="0">
        <references count="2">
          <reference field="9" count="1">
            <x v="3"/>
          </reference>
          <reference field="11" count="1" selected="0">
            <x v="1"/>
          </reference>
        </references>
      </pivotArea>
    </format>
    <format dxfId="13">
      <pivotArea collapsedLevelsAreSubtotals="1" fieldPosition="0">
        <references count="2">
          <reference field="9" count="1">
            <x v="4"/>
          </reference>
          <reference field="11" count="1" selected="0">
            <x v="1"/>
          </reference>
        </references>
      </pivotArea>
    </format>
    <format dxfId="12">
      <pivotArea collapsedLevelsAreSubtotals="1" fieldPosition="0">
        <references count="2">
          <reference field="9" count="1">
            <x v="5"/>
          </reference>
          <reference field="11" count="1" selected="0">
            <x v="1"/>
          </reference>
        </references>
      </pivotArea>
    </format>
    <format dxfId="11">
      <pivotArea collapsedLevelsAreSubtotals="1" fieldPosition="0">
        <references count="2">
          <reference field="9" count="1">
            <x v="6"/>
          </reference>
          <reference field="11" count="1" selected="0">
            <x v="1"/>
          </reference>
        </references>
      </pivotArea>
    </format>
    <format dxfId="10">
      <pivotArea collapsedLevelsAreSubtotals="1" fieldPosition="0">
        <references count="2">
          <reference field="9" count="1">
            <x v="7"/>
          </reference>
          <reference field="11" count="1" selected="0">
            <x v="1"/>
          </reference>
        </references>
      </pivotArea>
    </format>
    <format dxfId="9">
      <pivotArea collapsedLevelsAreSubtotals="1" fieldPosition="0">
        <references count="2">
          <reference field="9" count="1">
            <x v="8"/>
          </reference>
          <reference field="11" count="1" selected="0">
            <x v="1"/>
          </reference>
        </references>
      </pivotArea>
    </format>
    <format dxfId="8">
      <pivotArea collapsedLevelsAreSubtotals="1" fieldPosition="0">
        <references count="2">
          <reference field="9" count="1">
            <x v="9"/>
          </reference>
          <reference field="11" count="1" selected="0">
            <x v="1"/>
          </reference>
        </references>
      </pivotArea>
    </format>
    <format dxfId="7">
      <pivotArea collapsedLevelsAreSubtotals="1" fieldPosition="0">
        <references count="2">
          <reference field="9" count="1">
            <x v="10"/>
          </reference>
          <reference field="11" count="1" selected="0">
            <x v="1"/>
          </reference>
        </references>
      </pivotArea>
    </format>
    <format dxfId="6">
      <pivotArea collapsedLevelsAreSubtotals="1" fieldPosition="0">
        <references count="2">
          <reference field="9" count="1">
            <x v="11"/>
          </reference>
          <reference field="11" count="1" selected="0">
            <x v="1"/>
          </reference>
        </references>
      </pivotArea>
    </format>
    <format dxfId="5">
      <pivotArea collapsedLevelsAreSubtotals="1" fieldPosition="0">
        <references count="2">
          <reference field="9" count="1">
            <x v="12"/>
          </reference>
          <reference field="11" count="1" selected="0">
            <x v="1"/>
          </reference>
        </references>
      </pivotArea>
    </format>
    <format dxfId="4">
      <pivotArea collapsedLevelsAreSubtotals="1" fieldPosition="0">
        <references count="1">
          <reference field="11" count="1">
            <x v="2"/>
          </reference>
        </references>
      </pivotArea>
    </format>
    <format dxfId="3">
      <pivotArea collapsedLevelsAreSubtotals="1" fieldPosition="0">
        <references count="2">
          <reference field="9" count="1">
            <x v="1"/>
          </reference>
          <reference field="11" count="1" selected="0">
            <x v="2"/>
          </reference>
        </references>
      </pivotArea>
    </format>
    <format dxfId="2">
      <pivotArea grandRow="1"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3">
          <reference field="4294967294" count="1" selected="0">
            <x v="0"/>
          </reference>
          <reference field="9" count="1" selected="0">
            <x v="12"/>
          </reference>
          <reference field="11" count="1" selected="0">
            <x v="1"/>
          </reference>
        </references>
      </pivotArea>
    </chartFormat>
    <chartFormat chart="3" format="4">
      <pivotArea type="data" outline="0" fieldPosition="0">
        <references count="3">
          <reference field="4294967294" count="1" selected="0">
            <x v="0"/>
          </reference>
          <reference field="9" count="1" selected="0">
            <x v="10"/>
          </reference>
          <reference field="11" count="1" selected="0">
            <x v="1"/>
          </reference>
        </references>
      </pivotArea>
    </chartFormat>
    <chartFormat chart="3" format="5">
      <pivotArea type="data" outline="0" fieldPosition="0">
        <references count="3">
          <reference field="4294967294" count="1" selected="0">
            <x v="0"/>
          </reference>
          <reference field="9" count="1" selected="0">
            <x v="11"/>
          </reference>
          <reference field="11" count="1" selected="0">
            <x v="1"/>
          </reference>
        </references>
      </pivotArea>
    </chartFormat>
    <chartFormat chart="3" format="6">
      <pivotArea type="data" outline="0" fieldPosition="0">
        <references count="3">
          <reference field="4294967294" count="1" selected="0">
            <x v="0"/>
          </reference>
          <reference field="9" count="1" selected="0">
            <x v="9"/>
          </reference>
          <reference field="11" count="1" selected="0">
            <x v="1"/>
          </reference>
        </references>
      </pivotArea>
    </chartFormat>
    <chartFormat chart="3" format="7">
      <pivotArea type="data" outline="0" fieldPosition="0">
        <references count="3">
          <reference field="4294967294" count="1" selected="0">
            <x v="0"/>
          </reference>
          <reference field="9" count="1" selected="0">
            <x v="8"/>
          </reference>
          <reference field="11" count="1" selected="0">
            <x v="1"/>
          </reference>
        </references>
      </pivotArea>
    </chartFormat>
    <chartFormat chart="3" format="8">
      <pivotArea type="data" outline="0" fieldPosition="0">
        <references count="3">
          <reference field="4294967294" count="1" selected="0">
            <x v="0"/>
          </reference>
          <reference field="9" count="1" selected="0">
            <x v="7"/>
          </reference>
          <reference field="11" count="1" selected="0">
            <x v="1"/>
          </reference>
        </references>
      </pivotArea>
    </chartFormat>
    <chartFormat chart="3" format="9">
      <pivotArea type="data" outline="0" fieldPosition="0">
        <references count="3">
          <reference field="4294967294" count="1" selected="0">
            <x v="0"/>
          </reference>
          <reference field="9" count="1" selected="0">
            <x v="6"/>
          </reference>
          <reference field="11" count="1" selected="0">
            <x v="1"/>
          </reference>
        </references>
      </pivotArea>
    </chartFormat>
    <chartFormat chart="3" format="10">
      <pivotArea type="data" outline="0" fieldPosition="0">
        <references count="3">
          <reference field="4294967294" count="1" selected="0">
            <x v="0"/>
          </reference>
          <reference field="9" count="1" selected="0">
            <x v="5"/>
          </reference>
          <reference field="11" count="1" selected="0">
            <x v="1"/>
          </reference>
        </references>
      </pivotArea>
    </chartFormat>
    <chartFormat chart="3" format="11">
      <pivotArea type="data" outline="0" fieldPosition="0">
        <references count="3">
          <reference field="4294967294" count="1" selected="0">
            <x v="0"/>
          </reference>
          <reference field="9" count="1" selected="0">
            <x v="4"/>
          </reference>
          <reference field="11" count="1" selected="0">
            <x v="1"/>
          </reference>
        </references>
      </pivotArea>
    </chartFormat>
    <chartFormat chart="3" format="12">
      <pivotArea type="data" outline="0" fieldPosition="0">
        <references count="3">
          <reference field="4294967294" count="1" selected="0">
            <x v="0"/>
          </reference>
          <reference field="9" count="1" selected="0">
            <x v="3"/>
          </reference>
          <reference field="11" count="1" selected="0">
            <x v="1"/>
          </reference>
        </references>
      </pivotArea>
    </chartFormat>
    <chartFormat chart="3" format="13">
      <pivotArea type="data" outline="0" fieldPosition="0">
        <references count="3">
          <reference field="4294967294" count="1" selected="0">
            <x v="0"/>
          </reference>
          <reference field="9" count="1" selected="0">
            <x v="2"/>
          </reference>
          <reference field="11" count="1" selected="0">
            <x v="1"/>
          </reference>
        </references>
      </pivotArea>
    </chartFormat>
    <chartFormat chart="3" format="14">
      <pivotArea type="data" outline="0" fieldPosition="0">
        <references count="3">
          <reference field="4294967294" count="1" selected="0">
            <x v="0"/>
          </reference>
          <reference field="9"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55B626B-D6A6-4D5A-93E9-6EA7B8119069}" sourceName="Region">
  <pivotTables>
    <pivotTable tabId="2" name="PivotTable3"/>
    <pivotTable tabId="2" name="PivotTable1"/>
    <pivotTable tabId="2" name="PivotTable2"/>
    <pivotTable tabId="2" name="PivotTable4"/>
    <pivotTable tabId="2" name="PivotTable5"/>
  </pivotTables>
  <data>
    <tabular pivotCacheId="1679160057">
      <items count="4">
        <i x="0"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920B6A-7F56-4C4D-8AC6-107FE391679F}" sourceName="Product">
  <pivotTables>
    <pivotTable tabId="2" name="PivotTable4"/>
    <pivotTable tabId="2" name="PivotTable1"/>
    <pivotTable tabId="2" name="PivotTable2"/>
    <pivotTable tabId="2" name="PivotTable3"/>
    <pivotTable tabId="2" name="PivotTable5"/>
  </pivotTables>
  <data>
    <tabular pivotCacheId="1679160057">
      <items count="5">
        <i x="1" s="1"/>
        <i x="3" s="1"/>
        <i x="0" s="1"/>
        <i x="2"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BBF5AEBC-3064-46FD-90F6-1250179445C7}" sourceName="Months (Date)">
  <pivotTables>
    <pivotTable tabId="2" name="PivotTable2"/>
    <pivotTable tabId="2" name="PivotTable1"/>
    <pivotTable tabId="2" name="PivotTable3"/>
    <pivotTable tabId="2" name="PivotTable4"/>
    <pivotTable tabId="2" name="PivotTable5"/>
  </pivotTables>
  <data>
    <tabular pivotCacheId="167916005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FBDF7AC-7888-4DC3-ACFE-8EB6F8CA44C6}" cache="Slicer_Region" caption="Region" rowHeight="241300"/>
  <slicer name="Product" xr10:uid="{343CC99A-39F0-43DD-AA32-B0D172FC2910}" cache="Slicer_Product" caption="Product" rowHeight="241300"/>
  <slicer name="Months (Date)" xr10:uid="{72D1F3CB-3A0B-4CBE-9B69-D3736CDD200D}" cache="Slicer_Months__Date" caption="Months (D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EB3171A-6A36-445F-853D-238A5E4D9B9F}" cache="Slicer_Region" caption="Region" rowHeight="241300"/>
  <slicer name="Product 1" xr10:uid="{A5FD3444-F1AF-48F8-A1B8-A73CC82F8B1D}" cache="Slicer_Product" caption="Product" rowHeight="241300"/>
  <slicer name="Months (Date) 1" xr10:uid="{4462B489-6A8D-4754-B4A0-CC3C15AE8052}" cache="Slicer_Months__Date" caption="Month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619438-C30C-4EB4-9CCE-0CC142AE3D85}" name="Table1" displayName="Table1" ref="A1:I1006" totalsRowShown="0">
  <autoFilter ref="A1:I1006" xr:uid="{A1619438-C30C-4EB4-9CCE-0CC142AE3D85}"/>
  <tableColumns count="9">
    <tableColumn id="1" xr3:uid="{71146A6F-D113-4FF2-8842-A7B72C7FB762}" name="OrderID"/>
    <tableColumn id="2" xr3:uid="{B91C637B-8499-4C92-837C-164B96D2B9FC}" name="Date"/>
    <tableColumn id="3" xr3:uid="{4DFB1536-3271-440F-A0BD-51E039C18FC2}" name="Region"/>
    <tableColumn id="4" xr3:uid="{CACF0276-28C8-45D1-A5A5-3B828FF07178}" name="Product"/>
    <tableColumn id="5" xr3:uid="{D7045582-565E-41E5-AA32-FA5100C41882}" name="Sales" dataDxfId="20"/>
    <tableColumn id="6" xr3:uid="{0C0A280E-3840-47CB-A9F7-21DAD3B28617}" name="Quantity"/>
    <tableColumn id="7" xr3:uid="{ED6FF1B0-DDF3-40FA-BFE3-7E31DD2E202F}" name="pp" dataDxfId="19">
      <calculatedColumnFormula>PROPER(TRIM(Table1[[#This Row],[Product]]))</calculatedColumnFormula>
    </tableColumn>
    <tableColumn id="8" xr3:uid="{E5BF1F98-361F-4612-96FD-8EDC01B24DB4}" name="oo" dataDxfId="18">
      <calculatedColumnFormula>PROPER(TRIM(Table1[[#This Row],[Region]]))</calculatedColumnFormula>
    </tableColumn>
    <tableColumn id="9" xr3:uid="{38CDF33D-9C1C-4098-87A3-7ED772D5EB08}" name="Revenue" dataDxfId="17">
      <calculatedColumnFormula>Table1[[#This Row],[Sales]]*Table1[[#This Row],[Quantity]]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6"/>
  <sheetViews>
    <sheetView topLeftCell="A2" workbookViewId="0">
      <selection activeCell="A2" sqref="A2:I1006"/>
    </sheetView>
  </sheetViews>
  <sheetFormatPr defaultRowHeight="14.5" x14ac:dyDescent="0.35"/>
  <cols>
    <col min="1" max="1" width="9.54296875" customWidth="1"/>
    <col min="2" max="2" width="10.08984375" bestFit="1" customWidth="1"/>
    <col min="4" max="4" width="11.36328125" bestFit="1" customWidth="1"/>
    <col min="5" max="5" width="10.26953125" bestFit="1" customWidth="1"/>
    <col min="6" max="6" width="10.453125" bestFit="1" customWidth="1"/>
    <col min="7" max="7" width="11.36328125" hidden="1" customWidth="1"/>
    <col min="8" max="8" width="5.6328125" hidden="1" customWidth="1"/>
    <col min="9" max="9" width="11.7265625" bestFit="1" customWidth="1"/>
  </cols>
  <sheetData>
    <row r="1" spans="1:9" x14ac:dyDescent="0.35">
      <c r="A1" t="s">
        <v>0</v>
      </c>
      <c r="B1" t="s">
        <v>1</v>
      </c>
      <c r="C1" t="s">
        <v>2</v>
      </c>
      <c r="D1" t="s">
        <v>3</v>
      </c>
      <c r="E1" t="s">
        <v>4</v>
      </c>
      <c r="F1" t="s">
        <v>5</v>
      </c>
      <c r="G1" t="s">
        <v>998</v>
      </c>
      <c r="H1" t="s">
        <v>999</v>
      </c>
      <c r="I1" t="s">
        <v>1000</v>
      </c>
    </row>
    <row r="2" spans="1:9" x14ac:dyDescent="0.35">
      <c r="A2" t="s">
        <v>6</v>
      </c>
      <c r="B2" s="1">
        <v>45048</v>
      </c>
      <c r="C2" t="s">
        <v>33</v>
      </c>
      <c r="D2" t="s">
        <v>31</v>
      </c>
      <c r="E2" s="6">
        <v>33839</v>
      </c>
      <c r="F2">
        <v>1</v>
      </c>
      <c r="G2" t="str">
        <f>PROPER(TRIM(Table1[[#This Row],[Product]]))</f>
        <v>Monitor</v>
      </c>
      <c r="H2" t="str">
        <f>PROPER(TRIM(Table1[[#This Row],[Region]]))</f>
        <v>South</v>
      </c>
      <c r="I2" s="6">
        <f>Table1[[#This Row],[Sales]]*Table1[[#This Row],[Quantity]]</f>
        <v>33839</v>
      </c>
    </row>
    <row r="3" spans="1:9" x14ac:dyDescent="0.35">
      <c r="A3" t="s">
        <v>7</v>
      </c>
      <c r="B3" s="1">
        <v>45167</v>
      </c>
      <c r="C3" t="s">
        <v>33</v>
      </c>
      <c r="D3" t="s">
        <v>40</v>
      </c>
      <c r="E3" s="6">
        <v>11997</v>
      </c>
      <c r="F3">
        <v>3</v>
      </c>
      <c r="G3" t="str">
        <f>PROPER(TRIM(Table1[[#This Row],[Product]]))</f>
        <v>Headphones</v>
      </c>
      <c r="H3" t="str">
        <f>PROPER(TRIM(Table1[[#This Row],[Region]]))</f>
        <v>South</v>
      </c>
      <c r="I3" s="6">
        <f>Table1[[#This Row],[Sales]]*Table1[[#This Row],[Quantity]]</f>
        <v>35991</v>
      </c>
    </row>
    <row r="4" spans="1:9" x14ac:dyDescent="0.35">
      <c r="A4" t="s">
        <v>9</v>
      </c>
      <c r="B4" s="1">
        <v>45125</v>
      </c>
      <c r="C4" t="s">
        <v>30</v>
      </c>
      <c r="D4" t="s">
        <v>40</v>
      </c>
      <c r="E4" s="6">
        <v>41801</v>
      </c>
      <c r="F4">
        <v>3</v>
      </c>
      <c r="G4" t="str">
        <f>PROPER(TRIM(Table1[[#This Row],[Product]]))</f>
        <v>Headphones</v>
      </c>
      <c r="H4" t="str">
        <f>PROPER(TRIM(Table1[[#This Row],[Region]]))</f>
        <v>West</v>
      </c>
      <c r="I4" s="6">
        <f>Table1[[#This Row],[Sales]]*Table1[[#This Row],[Quantity]]</f>
        <v>125403</v>
      </c>
    </row>
    <row r="5" spans="1:9" x14ac:dyDescent="0.35">
      <c r="A5" t="s">
        <v>10</v>
      </c>
      <c r="B5" s="1">
        <v>45059</v>
      </c>
      <c r="C5" t="s">
        <v>18</v>
      </c>
      <c r="D5" t="s">
        <v>31</v>
      </c>
      <c r="E5" s="6">
        <v>39042</v>
      </c>
      <c r="F5">
        <v>7</v>
      </c>
      <c r="G5" t="str">
        <f>PROPER(TRIM(Table1[[#This Row],[Product]]))</f>
        <v>Monitor</v>
      </c>
      <c r="H5" t="str">
        <f>PROPER(TRIM(Table1[[#This Row],[Region]]))</f>
        <v>East</v>
      </c>
      <c r="I5" s="6">
        <f>Table1[[#This Row],[Sales]]*Table1[[#This Row],[Quantity]]</f>
        <v>273294</v>
      </c>
    </row>
    <row r="6" spans="1:9" x14ac:dyDescent="0.35">
      <c r="A6" t="s">
        <v>11</v>
      </c>
      <c r="B6" s="1">
        <v>45099</v>
      </c>
      <c r="C6" t="s">
        <v>18</v>
      </c>
      <c r="D6" t="s">
        <v>28</v>
      </c>
      <c r="E6" s="6">
        <v>39694</v>
      </c>
      <c r="F6">
        <v>10</v>
      </c>
      <c r="G6" t="str">
        <f>PROPER(TRIM(Table1[[#This Row],[Product]]))</f>
        <v>Phone</v>
      </c>
      <c r="H6" t="str">
        <f>PROPER(TRIM(Table1[[#This Row],[Region]]))</f>
        <v>East</v>
      </c>
      <c r="I6" s="6">
        <f>Table1[[#This Row],[Sales]]*Table1[[#This Row],[Quantity]]</f>
        <v>396940</v>
      </c>
    </row>
    <row r="7" spans="1:9" x14ac:dyDescent="0.35">
      <c r="A7" t="s">
        <v>12</v>
      </c>
      <c r="B7" s="1">
        <v>45262</v>
      </c>
      <c r="C7" t="s">
        <v>18</v>
      </c>
      <c r="D7" t="s">
        <v>13</v>
      </c>
      <c r="E7" s="6">
        <v>8836</v>
      </c>
      <c r="F7">
        <v>8</v>
      </c>
      <c r="G7" t="str">
        <f>PROPER(TRIM(Table1[[#This Row],[Product]]))</f>
        <v>Laptop</v>
      </c>
      <c r="H7" t="str">
        <f>PROPER(TRIM(Table1[[#This Row],[Region]]))</f>
        <v>East</v>
      </c>
      <c r="I7" s="6">
        <f>Table1[[#This Row],[Sales]]*Table1[[#This Row],[Quantity]]</f>
        <v>70688</v>
      </c>
    </row>
    <row r="8" spans="1:9" x14ac:dyDescent="0.35">
      <c r="A8" t="s">
        <v>14</v>
      </c>
      <c r="B8" s="1">
        <v>44982</v>
      </c>
      <c r="C8" t="s">
        <v>8</v>
      </c>
      <c r="D8" t="s">
        <v>40</v>
      </c>
      <c r="E8" s="6">
        <v>34306</v>
      </c>
      <c r="F8">
        <v>1</v>
      </c>
      <c r="G8" t="str">
        <f>PROPER(TRIM(Table1[[#This Row],[Product]]))</f>
        <v>Headphones</v>
      </c>
      <c r="H8" t="str">
        <f>PROPER(TRIM(Table1[[#This Row],[Region]]))</f>
        <v>North</v>
      </c>
      <c r="I8" s="6">
        <f>Table1[[#This Row],[Sales]]*Table1[[#This Row],[Quantity]]</f>
        <v>34306</v>
      </c>
    </row>
    <row r="9" spans="1:9" x14ac:dyDescent="0.35">
      <c r="A9" t="s">
        <v>15</v>
      </c>
      <c r="B9" s="1">
        <v>45100</v>
      </c>
      <c r="C9" t="s">
        <v>33</v>
      </c>
      <c r="D9" t="s">
        <v>40</v>
      </c>
      <c r="E9" s="6">
        <v>15567</v>
      </c>
      <c r="F9">
        <v>10</v>
      </c>
      <c r="G9" t="str">
        <f>PROPER(TRIM(Table1[[#This Row],[Product]]))</f>
        <v>Headphones</v>
      </c>
      <c r="H9" t="str">
        <f>PROPER(TRIM(Table1[[#This Row],[Region]]))</f>
        <v>South</v>
      </c>
      <c r="I9" s="6">
        <f>Table1[[#This Row],[Sales]]*Table1[[#This Row],[Quantity]]</f>
        <v>155670</v>
      </c>
    </row>
    <row r="10" spans="1:9" x14ac:dyDescent="0.35">
      <c r="A10" t="s">
        <v>16</v>
      </c>
      <c r="B10" s="1">
        <v>44979</v>
      </c>
      <c r="C10" t="s">
        <v>18</v>
      </c>
      <c r="D10" t="s">
        <v>28</v>
      </c>
      <c r="E10" s="6">
        <v>35640</v>
      </c>
      <c r="F10">
        <v>5</v>
      </c>
      <c r="G10" t="str">
        <f>PROPER(TRIM(Table1[[#This Row],[Product]]))</f>
        <v>Phone</v>
      </c>
      <c r="H10" t="str">
        <f>PROPER(TRIM(Table1[[#This Row],[Region]]))</f>
        <v>East</v>
      </c>
      <c r="I10" s="6">
        <f>Table1[[#This Row],[Sales]]*Table1[[#This Row],[Quantity]]</f>
        <v>178200</v>
      </c>
    </row>
    <row r="11" spans="1:9" x14ac:dyDescent="0.35">
      <c r="A11" t="s">
        <v>17</v>
      </c>
      <c r="B11" s="1">
        <v>45078</v>
      </c>
      <c r="C11" t="s">
        <v>18</v>
      </c>
      <c r="D11" t="s">
        <v>40</v>
      </c>
      <c r="E11" s="6">
        <v>46668</v>
      </c>
      <c r="F11">
        <v>6</v>
      </c>
      <c r="G11" t="str">
        <f>PROPER(TRIM(Table1[[#This Row],[Product]]))</f>
        <v>Headphones</v>
      </c>
      <c r="H11" t="str">
        <f>PROPER(TRIM(Table1[[#This Row],[Region]]))</f>
        <v>East</v>
      </c>
      <c r="I11" s="6">
        <f>Table1[[#This Row],[Sales]]*Table1[[#This Row],[Quantity]]</f>
        <v>280008</v>
      </c>
    </row>
    <row r="12" spans="1:9" x14ac:dyDescent="0.35">
      <c r="A12" t="s">
        <v>19</v>
      </c>
      <c r="B12" s="1">
        <v>45274</v>
      </c>
      <c r="C12" t="s">
        <v>18</v>
      </c>
      <c r="D12" t="s">
        <v>13</v>
      </c>
      <c r="E12" s="6">
        <v>18106</v>
      </c>
      <c r="F12">
        <v>6</v>
      </c>
      <c r="G12" t="str">
        <f>PROPER(TRIM(Table1[[#This Row],[Product]]))</f>
        <v>Laptop</v>
      </c>
      <c r="H12" t="str">
        <f>PROPER(TRIM(Table1[[#This Row],[Region]]))</f>
        <v>East</v>
      </c>
      <c r="I12" s="6">
        <f>Table1[[#This Row],[Sales]]*Table1[[#This Row],[Quantity]]</f>
        <v>108636</v>
      </c>
    </row>
    <row r="13" spans="1:9" x14ac:dyDescent="0.35">
      <c r="A13" t="s">
        <v>20</v>
      </c>
      <c r="B13" s="1">
        <v>45160</v>
      </c>
      <c r="C13" t="s">
        <v>18</v>
      </c>
      <c r="D13" t="s">
        <v>25</v>
      </c>
      <c r="E13" s="6">
        <v>14571</v>
      </c>
      <c r="F13">
        <v>10</v>
      </c>
      <c r="G13" t="str">
        <f>PROPER(TRIM(Table1[[#This Row],[Product]]))</f>
        <v>Tablet</v>
      </c>
      <c r="H13" t="str">
        <f>PROPER(TRIM(Table1[[#This Row],[Region]]))</f>
        <v>East</v>
      </c>
      <c r="I13" s="6">
        <f>Table1[[#This Row],[Sales]]*Table1[[#This Row],[Quantity]]</f>
        <v>145710</v>
      </c>
    </row>
    <row r="14" spans="1:9" x14ac:dyDescent="0.35">
      <c r="A14" t="s">
        <v>21</v>
      </c>
      <c r="B14" s="1">
        <v>45120</v>
      </c>
      <c r="C14" t="s">
        <v>33</v>
      </c>
      <c r="D14" t="s">
        <v>31</v>
      </c>
      <c r="E14" s="6">
        <v>1872</v>
      </c>
      <c r="F14">
        <v>6</v>
      </c>
      <c r="G14" t="str">
        <f>PROPER(TRIM(Table1[[#This Row],[Product]]))</f>
        <v>Monitor</v>
      </c>
      <c r="H14" t="str">
        <f>PROPER(TRIM(Table1[[#This Row],[Region]]))</f>
        <v>South</v>
      </c>
      <c r="I14" s="6">
        <f>Table1[[#This Row],[Sales]]*Table1[[#This Row],[Quantity]]</f>
        <v>11232</v>
      </c>
    </row>
    <row r="15" spans="1:9" x14ac:dyDescent="0.35">
      <c r="A15" t="s">
        <v>22</v>
      </c>
      <c r="B15" s="1">
        <v>45149</v>
      </c>
      <c r="C15" t="s">
        <v>8</v>
      </c>
      <c r="D15" t="s">
        <v>31</v>
      </c>
      <c r="E15" s="6">
        <v>37568</v>
      </c>
      <c r="F15">
        <v>4</v>
      </c>
      <c r="G15" t="str">
        <f>PROPER(TRIM(Table1[[#This Row],[Product]]))</f>
        <v>Monitor</v>
      </c>
      <c r="H15" t="str">
        <f>PROPER(TRIM(Table1[[#This Row],[Region]]))</f>
        <v>North</v>
      </c>
      <c r="I15" s="6">
        <f>Table1[[#This Row],[Sales]]*Table1[[#This Row],[Quantity]]</f>
        <v>150272</v>
      </c>
    </row>
    <row r="16" spans="1:9" x14ac:dyDescent="0.35">
      <c r="A16" t="s">
        <v>23</v>
      </c>
      <c r="B16" s="1">
        <v>45013</v>
      </c>
      <c r="C16" t="s">
        <v>33</v>
      </c>
      <c r="D16" t="s">
        <v>40</v>
      </c>
      <c r="E16" s="6">
        <v>239</v>
      </c>
      <c r="F16">
        <v>9</v>
      </c>
      <c r="G16" t="str">
        <f>PROPER(TRIM(Table1[[#This Row],[Product]]))</f>
        <v>Headphones</v>
      </c>
      <c r="H16" t="str">
        <f>PROPER(TRIM(Table1[[#This Row],[Region]]))</f>
        <v>South</v>
      </c>
      <c r="I16" s="6">
        <f>Table1[[#This Row],[Sales]]*Table1[[#This Row],[Quantity]]</f>
        <v>2151</v>
      </c>
    </row>
    <row r="17" spans="1:9" x14ac:dyDescent="0.35">
      <c r="A17" t="s">
        <v>24</v>
      </c>
      <c r="B17" s="1">
        <v>45088</v>
      </c>
      <c r="C17" t="s">
        <v>33</v>
      </c>
      <c r="D17" t="s">
        <v>25</v>
      </c>
      <c r="E17" s="6">
        <v>47872</v>
      </c>
      <c r="F17">
        <v>3</v>
      </c>
      <c r="G17" t="str">
        <f>PROPER(TRIM(Table1[[#This Row],[Product]]))</f>
        <v>Tablet</v>
      </c>
      <c r="H17" t="str">
        <f>PROPER(TRIM(Table1[[#This Row],[Region]]))</f>
        <v>South</v>
      </c>
      <c r="I17" s="6">
        <f>Table1[[#This Row],[Sales]]*Table1[[#This Row],[Quantity]]</f>
        <v>143616</v>
      </c>
    </row>
    <row r="18" spans="1:9" x14ac:dyDescent="0.35">
      <c r="A18" t="s">
        <v>26</v>
      </c>
      <c r="B18" s="1">
        <v>45192</v>
      </c>
      <c r="C18" t="s">
        <v>30</v>
      </c>
      <c r="D18" t="s">
        <v>40</v>
      </c>
      <c r="E18" s="6">
        <v>47026</v>
      </c>
      <c r="F18">
        <v>7</v>
      </c>
      <c r="G18" t="str">
        <f>PROPER(TRIM(Table1[[#This Row],[Product]]))</f>
        <v>Headphones</v>
      </c>
      <c r="H18" t="str">
        <f>PROPER(TRIM(Table1[[#This Row],[Region]]))</f>
        <v>West</v>
      </c>
      <c r="I18" s="6">
        <f>Table1[[#This Row],[Sales]]*Table1[[#This Row],[Quantity]]</f>
        <v>329182</v>
      </c>
    </row>
    <row r="19" spans="1:9" x14ac:dyDescent="0.35">
      <c r="A19" t="s">
        <v>27</v>
      </c>
      <c r="B19" s="1">
        <v>44929</v>
      </c>
      <c r="C19" t="s">
        <v>30</v>
      </c>
      <c r="D19" t="s">
        <v>28</v>
      </c>
      <c r="E19" s="6">
        <v>26283</v>
      </c>
      <c r="F19">
        <v>9</v>
      </c>
      <c r="G19" t="str">
        <f>PROPER(TRIM(Table1[[#This Row],[Product]]))</f>
        <v>Phone</v>
      </c>
      <c r="H19" t="str">
        <f>PROPER(TRIM(Table1[[#This Row],[Region]]))</f>
        <v>West</v>
      </c>
      <c r="I19" s="6">
        <f>Table1[[#This Row],[Sales]]*Table1[[#This Row],[Quantity]]</f>
        <v>236547</v>
      </c>
    </row>
    <row r="20" spans="1:9" x14ac:dyDescent="0.35">
      <c r="A20" t="s">
        <v>29</v>
      </c>
      <c r="B20" s="1">
        <v>45282</v>
      </c>
      <c r="C20" t="s">
        <v>30</v>
      </c>
      <c r="D20" t="s">
        <v>13</v>
      </c>
      <c r="E20" s="6">
        <v>28573</v>
      </c>
      <c r="F20">
        <v>9</v>
      </c>
      <c r="G20" t="str">
        <f>PROPER(TRIM(Table1[[#This Row],[Product]]))</f>
        <v>Laptop</v>
      </c>
      <c r="H20" t="str">
        <f>PROPER(TRIM(Table1[[#This Row],[Region]]))</f>
        <v>West</v>
      </c>
      <c r="I20" s="6">
        <f>Table1[[#This Row],[Sales]]*Table1[[#This Row],[Quantity]]</f>
        <v>257157</v>
      </c>
    </row>
    <row r="21" spans="1:9" x14ac:dyDescent="0.35">
      <c r="A21" t="s">
        <v>32</v>
      </c>
      <c r="B21" s="1">
        <v>44958</v>
      </c>
      <c r="C21" t="s">
        <v>33</v>
      </c>
      <c r="D21" t="s">
        <v>31</v>
      </c>
      <c r="E21" s="6">
        <v>18058</v>
      </c>
      <c r="F21">
        <v>3</v>
      </c>
      <c r="G21" t="str">
        <f>PROPER(TRIM(Table1[[#This Row],[Product]]))</f>
        <v>Monitor</v>
      </c>
      <c r="H21" t="str">
        <f>PROPER(TRIM(Table1[[#This Row],[Region]]))</f>
        <v>South</v>
      </c>
      <c r="I21" s="6">
        <f>Table1[[#This Row],[Sales]]*Table1[[#This Row],[Quantity]]</f>
        <v>54174</v>
      </c>
    </row>
    <row r="22" spans="1:9" x14ac:dyDescent="0.35">
      <c r="A22" t="s">
        <v>34</v>
      </c>
      <c r="B22" s="1">
        <v>44930</v>
      </c>
      <c r="C22" t="s">
        <v>30</v>
      </c>
      <c r="D22" t="s">
        <v>25</v>
      </c>
      <c r="E22" s="6">
        <v>26948</v>
      </c>
      <c r="F22">
        <v>7</v>
      </c>
      <c r="G22" t="str">
        <f>PROPER(TRIM(Table1[[#This Row],[Product]]))</f>
        <v>Tablet</v>
      </c>
      <c r="H22" t="str">
        <f>PROPER(TRIM(Table1[[#This Row],[Region]]))</f>
        <v>West</v>
      </c>
      <c r="I22" s="6">
        <f>Table1[[#This Row],[Sales]]*Table1[[#This Row],[Quantity]]</f>
        <v>188636</v>
      </c>
    </row>
    <row r="23" spans="1:9" x14ac:dyDescent="0.35">
      <c r="A23" t="s">
        <v>35</v>
      </c>
      <c r="B23" s="1">
        <v>44971</v>
      </c>
      <c r="C23" t="s">
        <v>30</v>
      </c>
      <c r="D23" t="s">
        <v>28</v>
      </c>
      <c r="E23" s="6">
        <v>28777</v>
      </c>
      <c r="F23">
        <v>7</v>
      </c>
      <c r="G23" t="str">
        <f>PROPER(TRIM(Table1[[#This Row],[Product]]))</f>
        <v>Phone</v>
      </c>
      <c r="H23" t="str">
        <f>PROPER(TRIM(Table1[[#This Row],[Region]]))</f>
        <v>West</v>
      </c>
      <c r="I23" s="6">
        <f>Table1[[#This Row],[Sales]]*Table1[[#This Row],[Quantity]]</f>
        <v>201439</v>
      </c>
    </row>
    <row r="24" spans="1:9" x14ac:dyDescent="0.35">
      <c r="A24" t="s">
        <v>36</v>
      </c>
      <c r="B24" s="1">
        <v>45111</v>
      </c>
      <c r="C24" t="s">
        <v>18</v>
      </c>
      <c r="D24" t="s">
        <v>13</v>
      </c>
      <c r="E24" s="6">
        <v>12362</v>
      </c>
      <c r="F24">
        <v>7</v>
      </c>
      <c r="G24" t="str">
        <f>PROPER(TRIM(Table1[[#This Row],[Product]]))</f>
        <v>Laptop</v>
      </c>
      <c r="H24" t="str">
        <f>PROPER(TRIM(Table1[[#This Row],[Region]]))</f>
        <v>East</v>
      </c>
      <c r="I24" s="6">
        <f>Table1[[#This Row],[Sales]]*Table1[[#This Row],[Quantity]]</f>
        <v>86534</v>
      </c>
    </row>
    <row r="25" spans="1:9" x14ac:dyDescent="0.35">
      <c r="A25" t="s">
        <v>37</v>
      </c>
      <c r="B25" s="1">
        <v>45217</v>
      </c>
      <c r="C25" t="s">
        <v>18</v>
      </c>
      <c r="D25" t="s">
        <v>31</v>
      </c>
      <c r="E25" s="6">
        <v>6701</v>
      </c>
      <c r="F25">
        <v>10</v>
      </c>
      <c r="G25" t="str">
        <f>PROPER(TRIM(Table1[[#This Row],[Product]]))</f>
        <v>Monitor</v>
      </c>
      <c r="H25" t="str">
        <f>PROPER(TRIM(Table1[[#This Row],[Region]]))</f>
        <v>East</v>
      </c>
      <c r="I25" s="6">
        <f>Table1[[#This Row],[Sales]]*Table1[[#This Row],[Quantity]]</f>
        <v>67010</v>
      </c>
    </row>
    <row r="26" spans="1:9" x14ac:dyDescent="0.35">
      <c r="A26" t="s">
        <v>38</v>
      </c>
      <c r="B26" s="1">
        <v>44954</v>
      </c>
      <c r="C26" t="s">
        <v>30</v>
      </c>
      <c r="D26" t="s">
        <v>40</v>
      </c>
      <c r="E26" s="6">
        <v>19406</v>
      </c>
      <c r="F26">
        <v>9</v>
      </c>
      <c r="G26" t="str">
        <f>PROPER(TRIM(Table1[[#This Row],[Product]]))</f>
        <v>Headphones</v>
      </c>
      <c r="H26" t="str">
        <f>PROPER(TRIM(Table1[[#This Row],[Region]]))</f>
        <v>West</v>
      </c>
      <c r="I26" s="6">
        <f>Table1[[#This Row],[Sales]]*Table1[[#This Row],[Quantity]]</f>
        <v>174654</v>
      </c>
    </row>
    <row r="27" spans="1:9" x14ac:dyDescent="0.35">
      <c r="A27" t="s">
        <v>39</v>
      </c>
      <c r="B27" s="1">
        <v>45061</v>
      </c>
      <c r="C27" t="s">
        <v>8</v>
      </c>
      <c r="D27" t="s">
        <v>40</v>
      </c>
      <c r="E27" s="6">
        <v>2959</v>
      </c>
      <c r="F27">
        <v>2</v>
      </c>
      <c r="G27" t="str">
        <f>PROPER(TRIM(Table1[[#This Row],[Product]]))</f>
        <v>Headphones</v>
      </c>
      <c r="H27" t="str">
        <f>PROPER(TRIM(Table1[[#This Row],[Region]]))</f>
        <v>North</v>
      </c>
      <c r="I27" s="6">
        <f>Table1[[#This Row],[Sales]]*Table1[[#This Row],[Quantity]]</f>
        <v>5918</v>
      </c>
    </row>
    <row r="28" spans="1:9" x14ac:dyDescent="0.35">
      <c r="A28" t="s">
        <v>41</v>
      </c>
      <c r="B28" s="1">
        <v>44929</v>
      </c>
      <c r="C28" t="s">
        <v>33</v>
      </c>
      <c r="D28" t="s">
        <v>13</v>
      </c>
      <c r="E28" s="6">
        <v>26034</v>
      </c>
      <c r="F28">
        <v>7</v>
      </c>
      <c r="G28" t="str">
        <f>PROPER(TRIM(Table1[[#This Row],[Product]]))</f>
        <v>Laptop</v>
      </c>
      <c r="H28" t="str">
        <f>PROPER(TRIM(Table1[[#This Row],[Region]]))</f>
        <v>South</v>
      </c>
      <c r="I28" s="6">
        <f>Table1[[#This Row],[Sales]]*Table1[[#This Row],[Quantity]]</f>
        <v>182238</v>
      </c>
    </row>
    <row r="29" spans="1:9" x14ac:dyDescent="0.35">
      <c r="A29" t="s">
        <v>42</v>
      </c>
      <c r="B29" s="1">
        <v>44939</v>
      </c>
      <c r="C29" t="s">
        <v>8</v>
      </c>
      <c r="D29" t="s">
        <v>40</v>
      </c>
      <c r="E29" s="6">
        <v>17379</v>
      </c>
      <c r="F29">
        <v>1</v>
      </c>
      <c r="G29" t="str">
        <f>PROPER(TRIM(Table1[[#This Row],[Product]]))</f>
        <v>Headphones</v>
      </c>
      <c r="H29" t="str">
        <f>PROPER(TRIM(Table1[[#This Row],[Region]]))</f>
        <v>North</v>
      </c>
      <c r="I29" s="6">
        <f>Table1[[#This Row],[Sales]]*Table1[[#This Row],[Quantity]]</f>
        <v>17379</v>
      </c>
    </row>
    <row r="30" spans="1:9" x14ac:dyDescent="0.35">
      <c r="A30" t="s">
        <v>43</v>
      </c>
      <c r="B30" s="1">
        <v>45215</v>
      </c>
      <c r="C30" t="s">
        <v>33</v>
      </c>
      <c r="D30" t="s">
        <v>31</v>
      </c>
      <c r="E30" s="6">
        <v>28510</v>
      </c>
      <c r="F30">
        <v>6</v>
      </c>
      <c r="G30" t="str">
        <f>PROPER(TRIM(Table1[[#This Row],[Product]]))</f>
        <v>Monitor</v>
      </c>
      <c r="H30" t="str">
        <f>PROPER(TRIM(Table1[[#This Row],[Region]]))</f>
        <v>South</v>
      </c>
      <c r="I30" s="6">
        <f>Table1[[#This Row],[Sales]]*Table1[[#This Row],[Quantity]]</f>
        <v>171060</v>
      </c>
    </row>
    <row r="31" spans="1:9" x14ac:dyDescent="0.35">
      <c r="A31" t="s">
        <v>44</v>
      </c>
      <c r="B31" s="1">
        <v>45019</v>
      </c>
      <c r="C31" t="s">
        <v>33</v>
      </c>
      <c r="D31" t="s">
        <v>28</v>
      </c>
      <c r="E31" s="6">
        <v>49267</v>
      </c>
      <c r="F31">
        <v>7</v>
      </c>
      <c r="G31" t="str">
        <f>PROPER(TRIM(Table1[[#This Row],[Product]]))</f>
        <v>Phone</v>
      </c>
      <c r="H31" t="str">
        <f>PROPER(TRIM(Table1[[#This Row],[Region]]))</f>
        <v>South</v>
      </c>
      <c r="I31" s="6">
        <f>Table1[[#This Row],[Sales]]*Table1[[#This Row],[Quantity]]</f>
        <v>344869</v>
      </c>
    </row>
    <row r="32" spans="1:9" x14ac:dyDescent="0.35">
      <c r="A32" t="s">
        <v>45</v>
      </c>
      <c r="B32" s="1">
        <v>44996</v>
      </c>
      <c r="C32" t="s">
        <v>30</v>
      </c>
      <c r="D32" t="s">
        <v>40</v>
      </c>
      <c r="E32" s="6">
        <v>20994</v>
      </c>
      <c r="F32">
        <v>3</v>
      </c>
      <c r="G32" t="str">
        <f>PROPER(TRIM(Table1[[#This Row],[Product]]))</f>
        <v>Headphones</v>
      </c>
      <c r="H32" t="str">
        <f>PROPER(TRIM(Table1[[#This Row],[Region]]))</f>
        <v>West</v>
      </c>
      <c r="I32" s="6">
        <f>Table1[[#This Row],[Sales]]*Table1[[#This Row],[Quantity]]</f>
        <v>62982</v>
      </c>
    </row>
    <row r="33" spans="1:9" x14ac:dyDescent="0.35">
      <c r="A33" t="s">
        <v>46</v>
      </c>
      <c r="B33" s="1">
        <v>45218</v>
      </c>
      <c r="C33" t="s">
        <v>30</v>
      </c>
      <c r="D33" t="s">
        <v>40</v>
      </c>
      <c r="E33" s="6">
        <v>44552</v>
      </c>
      <c r="F33">
        <v>8</v>
      </c>
      <c r="G33" t="str">
        <f>PROPER(TRIM(Table1[[#This Row],[Product]]))</f>
        <v>Headphones</v>
      </c>
      <c r="H33" t="str">
        <f>PROPER(TRIM(Table1[[#This Row],[Region]]))</f>
        <v>West</v>
      </c>
      <c r="I33" s="6">
        <f>Table1[[#This Row],[Sales]]*Table1[[#This Row],[Quantity]]</f>
        <v>356416</v>
      </c>
    </row>
    <row r="34" spans="1:9" x14ac:dyDescent="0.35">
      <c r="A34" t="s">
        <v>47</v>
      </c>
      <c r="B34" s="1">
        <v>45191</v>
      </c>
      <c r="C34" t="s">
        <v>33</v>
      </c>
      <c r="D34" t="s">
        <v>25</v>
      </c>
      <c r="E34" s="6">
        <v>24035</v>
      </c>
      <c r="F34">
        <v>4</v>
      </c>
      <c r="G34" t="str">
        <f>PROPER(TRIM(Table1[[#This Row],[Product]]))</f>
        <v>Tablet</v>
      </c>
      <c r="H34" t="str">
        <f>PROPER(TRIM(Table1[[#This Row],[Region]]))</f>
        <v>South</v>
      </c>
      <c r="I34" s="6">
        <f>Table1[[#This Row],[Sales]]*Table1[[#This Row],[Quantity]]</f>
        <v>96140</v>
      </c>
    </row>
    <row r="35" spans="1:9" x14ac:dyDescent="0.35">
      <c r="A35" t="s">
        <v>48</v>
      </c>
      <c r="B35" s="1">
        <v>44995</v>
      </c>
      <c r="C35" t="s">
        <v>30</v>
      </c>
      <c r="D35" t="s">
        <v>31</v>
      </c>
      <c r="E35" s="6">
        <v>46087</v>
      </c>
      <c r="F35">
        <v>5</v>
      </c>
      <c r="G35" t="str">
        <f>PROPER(TRIM(Table1[[#This Row],[Product]]))</f>
        <v>Monitor</v>
      </c>
      <c r="H35" t="str">
        <f>PROPER(TRIM(Table1[[#This Row],[Region]]))</f>
        <v>West</v>
      </c>
      <c r="I35" s="6">
        <f>Table1[[#This Row],[Sales]]*Table1[[#This Row],[Quantity]]</f>
        <v>230435</v>
      </c>
    </row>
    <row r="36" spans="1:9" x14ac:dyDescent="0.35">
      <c r="A36" t="s">
        <v>49</v>
      </c>
      <c r="B36" s="1">
        <v>44994</v>
      </c>
      <c r="C36" t="s">
        <v>33</v>
      </c>
      <c r="D36" t="s">
        <v>31</v>
      </c>
      <c r="E36" s="6">
        <v>47697</v>
      </c>
      <c r="F36">
        <v>3</v>
      </c>
      <c r="G36" t="str">
        <f>PROPER(TRIM(Table1[[#This Row],[Product]]))</f>
        <v>Monitor</v>
      </c>
      <c r="H36" t="str">
        <f>PROPER(TRIM(Table1[[#This Row],[Region]]))</f>
        <v>South</v>
      </c>
      <c r="I36" s="6">
        <f>Table1[[#This Row],[Sales]]*Table1[[#This Row],[Quantity]]</f>
        <v>143091</v>
      </c>
    </row>
    <row r="37" spans="1:9" x14ac:dyDescent="0.35">
      <c r="A37" t="s">
        <v>50</v>
      </c>
      <c r="B37" s="1">
        <v>45131</v>
      </c>
      <c r="C37" t="s">
        <v>8</v>
      </c>
      <c r="D37" t="s">
        <v>28</v>
      </c>
      <c r="E37" s="6">
        <v>46322</v>
      </c>
      <c r="F37">
        <v>2</v>
      </c>
      <c r="G37" t="str">
        <f>PROPER(TRIM(Table1[[#This Row],[Product]]))</f>
        <v>Phone</v>
      </c>
      <c r="H37" t="str">
        <f>PROPER(TRIM(Table1[[#This Row],[Region]]))</f>
        <v>North</v>
      </c>
      <c r="I37" s="6">
        <f>Table1[[#This Row],[Sales]]*Table1[[#This Row],[Quantity]]</f>
        <v>92644</v>
      </c>
    </row>
    <row r="38" spans="1:9" x14ac:dyDescent="0.35">
      <c r="A38" t="s">
        <v>51</v>
      </c>
      <c r="B38" s="1">
        <v>45057</v>
      </c>
      <c r="C38" t="s">
        <v>18</v>
      </c>
      <c r="D38" t="s">
        <v>28</v>
      </c>
      <c r="E38" s="6">
        <v>10865</v>
      </c>
      <c r="F38">
        <v>5</v>
      </c>
      <c r="G38" t="str">
        <f>PROPER(TRIM(Table1[[#This Row],[Product]]))</f>
        <v>Phone</v>
      </c>
      <c r="H38" t="str">
        <f>PROPER(TRIM(Table1[[#This Row],[Region]]))</f>
        <v>East</v>
      </c>
      <c r="I38" s="6">
        <f>Table1[[#This Row],[Sales]]*Table1[[#This Row],[Quantity]]</f>
        <v>54325</v>
      </c>
    </row>
    <row r="39" spans="1:9" x14ac:dyDescent="0.35">
      <c r="A39" t="s">
        <v>52</v>
      </c>
      <c r="B39" s="1">
        <v>44950</v>
      </c>
      <c r="C39" t="s">
        <v>30</v>
      </c>
      <c r="D39" t="s">
        <v>13</v>
      </c>
      <c r="E39" s="6">
        <v>15540</v>
      </c>
      <c r="F39">
        <v>5</v>
      </c>
      <c r="G39" t="str">
        <f>PROPER(TRIM(Table1[[#This Row],[Product]]))</f>
        <v>Laptop</v>
      </c>
      <c r="H39" t="str">
        <f>PROPER(TRIM(Table1[[#This Row],[Region]]))</f>
        <v>West</v>
      </c>
      <c r="I39" s="6">
        <f>Table1[[#This Row],[Sales]]*Table1[[#This Row],[Quantity]]</f>
        <v>77700</v>
      </c>
    </row>
    <row r="40" spans="1:9" x14ac:dyDescent="0.35">
      <c r="A40" t="s">
        <v>53</v>
      </c>
      <c r="B40" s="1">
        <v>45158</v>
      </c>
      <c r="C40" t="s">
        <v>18</v>
      </c>
      <c r="D40" t="s">
        <v>13</v>
      </c>
      <c r="E40" s="6">
        <v>33030</v>
      </c>
      <c r="F40">
        <v>2</v>
      </c>
      <c r="G40" t="str">
        <f>PROPER(TRIM(Table1[[#This Row],[Product]]))</f>
        <v>Laptop</v>
      </c>
      <c r="H40" t="str">
        <f>PROPER(TRIM(Table1[[#This Row],[Region]]))</f>
        <v>East</v>
      </c>
      <c r="I40" s="6">
        <f>Table1[[#This Row],[Sales]]*Table1[[#This Row],[Quantity]]</f>
        <v>66060</v>
      </c>
    </row>
    <row r="41" spans="1:9" x14ac:dyDescent="0.35">
      <c r="A41" t="s">
        <v>54</v>
      </c>
      <c r="B41" s="1">
        <v>45226</v>
      </c>
      <c r="C41" t="s">
        <v>30</v>
      </c>
      <c r="D41" t="s">
        <v>31</v>
      </c>
      <c r="E41" s="6">
        <v>43651</v>
      </c>
      <c r="F41">
        <v>7</v>
      </c>
      <c r="G41" t="str">
        <f>PROPER(TRIM(Table1[[#This Row],[Product]]))</f>
        <v>Monitor</v>
      </c>
      <c r="H41" t="str">
        <f>PROPER(TRIM(Table1[[#This Row],[Region]]))</f>
        <v>West</v>
      </c>
      <c r="I41" s="6">
        <f>Table1[[#This Row],[Sales]]*Table1[[#This Row],[Quantity]]</f>
        <v>305557</v>
      </c>
    </row>
    <row r="42" spans="1:9" x14ac:dyDescent="0.35">
      <c r="A42" t="s">
        <v>55</v>
      </c>
      <c r="B42" s="1">
        <v>45197</v>
      </c>
      <c r="C42" t="s">
        <v>18</v>
      </c>
      <c r="D42" t="s">
        <v>40</v>
      </c>
      <c r="E42" s="6">
        <v>11444</v>
      </c>
      <c r="F42">
        <v>5</v>
      </c>
      <c r="G42" t="str">
        <f>PROPER(TRIM(Table1[[#This Row],[Product]]))</f>
        <v>Headphones</v>
      </c>
      <c r="H42" t="str">
        <f>PROPER(TRIM(Table1[[#This Row],[Region]]))</f>
        <v>East</v>
      </c>
      <c r="I42" s="6">
        <f>Table1[[#This Row],[Sales]]*Table1[[#This Row],[Quantity]]</f>
        <v>57220</v>
      </c>
    </row>
    <row r="43" spans="1:9" x14ac:dyDescent="0.35">
      <c r="A43" t="s">
        <v>56</v>
      </c>
      <c r="B43" s="1">
        <v>45100</v>
      </c>
      <c r="C43" t="s">
        <v>8</v>
      </c>
      <c r="D43" t="s">
        <v>31</v>
      </c>
      <c r="E43" s="6">
        <v>39094</v>
      </c>
      <c r="F43">
        <v>10</v>
      </c>
      <c r="G43" t="str">
        <f>PROPER(TRIM(Table1[[#This Row],[Product]]))</f>
        <v>Monitor</v>
      </c>
      <c r="H43" t="str">
        <f>PROPER(TRIM(Table1[[#This Row],[Region]]))</f>
        <v>North</v>
      </c>
      <c r="I43" s="6">
        <f>Table1[[#This Row],[Sales]]*Table1[[#This Row],[Quantity]]</f>
        <v>390940</v>
      </c>
    </row>
    <row r="44" spans="1:9" x14ac:dyDescent="0.35">
      <c r="A44" t="s">
        <v>57</v>
      </c>
      <c r="B44" s="1">
        <v>45257</v>
      </c>
      <c r="C44" t="s">
        <v>33</v>
      </c>
      <c r="D44" t="s">
        <v>25</v>
      </c>
      <c r="E44" s="6">
        <v>37314</v>
      </c>
      <c r="F44">
        <v>3</v>
      </c>
      <c r="G44" t="str">
        <f>PROPER(TRIM(Table1[[#This Row],[Product]]))</f>
        <v>Tablet</v>
      </c>
      <c r="H44" t="str">
        <f>PROPER(TRIM(Table1[[#This Row],[Region]]))</f>
        <v>South</v>
      </c>
      <c r="I44" s="6">
        <f>Table1[[#This Row],[Sales]]*Table1[[#This Row],[Quantity]]</f>
        <v>111942</v>
      </c>
    </row>
    <row r="45" spans="1:9" x14ac:dyDescent="0.35">
      <c r="A45" t="s">
        <v>58</v>
      </c>
      <c r="B45" s="1">
        <v>45257</v>
      </c>
      <c r="C45" t="s">
        <v>30</v>
      </c>
      <c r="D45" t="s">
        <v>25</v>
      </c>
      <c r="E45" s="6">
        <v>42217</v>
      </c>
      <c r="F45">
        <v>3</v>
      </c>
      <c r="G45" t="str">
        <f>PROPER(TRIM(Table1[[#This Row],[Product]]))</f>
        <v>Tablet</v>
      </c>
      <c r="H45" t="str">
        <f>PROPER(TRIM(Table1[[#This Row],[Region]]))</f>
        <v>West</v>
      </c>
      <c r="I45" s="6">
        <f>Table1[[#This Row],[Sales]]*Table1[[#This Row],[Quantity]]</f>
        <v>126651</v>
      </c>
    </row>
    <row r="46" spans="1:9" x14ac:dyDescent="0.35">
      <c r="A46" t="s">
        <v>59</v>
      </c>
      <c r="B46" s="1">
        <v>44981</v>
      </c>
      <c r="C46" t="s">
        <v>30</v>
      </c>
      <c r="D46" t="s">
        <v>13</v>
      </c>
      <c r="E46" s="6">
        <v>41912</v>
      </c>
      <c r="F46">
        <v>3</v>
      </c>
      <c r="G46" t="str">
        <f>PROPER(TRIM(Table1[[#This Row],[Product]]))</f>
        <v>Laptop</v>
      </c>
      <c r="H46" t="str">
        <f>PROPER(TRIM(Table1[[#This Row],[Region]]))</f>
        <v>West</v>
      </c>
      <c r="I46" s="6">
        <f>Table1[[#This Row],[Sales]]*Table1[[#This Row],[Quantity]]</f>
        <v>125736</v>
      </c>
    </row>
    <row r="47" spans="1:9" x14ac:dyDescent="0.35">
      <c r="A47" t="s">
        <v>60</v>
      </c>
      <c r="B47" s="1">
        <v>45185</v>
      </c>
      <c r="C47" t="s">
        <v>18</v>
      </c>
      <c r="D47" t="s">
        <v>40</v>
      </c>
      <c r="E47" s="6">
        <v>12777</v>
      </c>
      <c r="F47">
        <v>6</v>
      </c>
      <c r="G47" t="str">
        <f>PROPER(TRIM(Table1[[#This Row],[Product]]))</f>
        <v>Headphones</v>
      </c>
      <c r="H47" t="str">
        <f>PROPER(TRIM(Table1[[#This Row],[Region]]))</f>
        <v>East</v>
      </c>
      <c r="I47" s="6">
        <f>Table1[[#This Row],[Sales]]*Table1[[#This Row],[Quantity]]</f>
        <v>76662</v>
      </c>
    </row>
    <row r="48" spans="1:9" x14ac:dyDescent="0.35">
      <c r="A48" t="s">
        <v>61</v>
      </c>
      <c r="B48" s="1">
        <v>44984</v>
      </c>
      <c r="C48" t="s">
        <v>8</v>
      </c>
      <c r="D48" t="s">
        <v>31</v>
      </c>
      <c r="E48" s="6">
        <v>4934</v>
      </c>
      <c r="F48">
        <v>7</v>
      </c>
      <c r="G48" t="str">
        <f>PROPER(TRIM(Table1[[#This Row],[Product]]))</f>
        <v>Monitor</v>
      </c>
      <c r="H48" t="str">
        <f>PROPER(TRIM(Table1[[#This Row],[Region]]))</f>
        <v>North</v>
      </c>
      <c r="I48" s="6">
        <f>Table1[[#This Row],[Sales]]*Table1[[#This Row],[Quantity]]</f>
        <v>34538</v>
      </c>
    </row>
    <row r="49" spans="1:9" x14ac:dyDescent="0.35">
      <c r="A49" t="s">
        <v>62</v>
      </c>
      <c r="B49" s="1">
        <v>45127</v>
      </c>
      <c r="C49" t="s">
        <v>33</v>
      </c>
      <c r="D49" t="s">
        <v>31</v>
      </c>
      <c r="E49" s="6">
        <v>48460</v>
      </c>
      <c r="F49">
        <v>9</v>
      </c>
      <c r="G49" t="str">
        <f>PROPER(TRIM(Table1[[#This Row],[Product]]))</f>
        <v>Monitor</v>
      </c>
      <c r="H49" t="str">
        <f>PROPER(TRIM(Table1[[#This Row],[Region]]))</f>
        <v>South</v>
      </c>
      <c r="I49" s="6">
        <f>Table1[[#This Row],[Sales]]*Table1[[#This Row],[Quantity]]</f>
        <v>436140</v>
      </c>
    </row>
    <row r="50" spans="1:9" x14ac:dyDescent="0.35">
      <c r="A50" t="s">
        <v>63</v>
      </c>
      <c r="B50" s="1">
        <v>45218</v>
      </c>
      <c r="C50" t="s">
        <v>18</v>
      </c>
      <c r="D50" t="s">
        <v>25</v>
      </c>
      <c r="E50" s="6">
        <v>6723</v>
      </c>
      <c r="F50">
        <v>7</v>
      </c>
      <c r="G50" t="str">
        <f>PROPER(TRIM(Table1[[#This Row],[Product]]))</f>
        <v>Tablet</v>
      </c>
      <c r="H50" t="str">
        <f>PROPER(TRIM(Table1[[#This Row],[Region]]))</f>
        <v>East</v>
      </c>
      <c r="I50" s="6">
        <f>Table1[[#This Row],[Sales]]*Table1[[#This Row],[Quantity]]</f>
        <v>47061</v>
      </c>
    </row>
    <row r="51" spans="1:9" x14ac:dyDescent="0.35">
      <c r="A51" t="s">
        <v>64</v>
      </c>
      <c r="B51" s="1">
        <v>45123</v>
      </c>
      <c r="C51" t="s">
        <v>18</v>
      </c>
      <c r="D51" t="s">
        <v>31</v>
      </c>
      <c r="E51" s="6">
        <v>15705</v>
      </c>
      <c r="F51">
        <v>1</v>
      </c>
      <c r="G51" t="str">
        <f>PROPER(TRIM(Table1[[#This Row],[Product]]))</f>
        <v>Monitor</v>
      </c>
      <c r="H51" t="str">
        <f>PROPER(TRIM(Table1[[#This Row],[Region]]))</f>
        <v>East</v>
      </c>
      <c r="I51" s="6">
        <f>Table1[[#This Row],[Sales]]*Table1[[#This Row],[Quantity]]</f>
        <v>15705</v>
      </c>
    </row>
    <row r="52" spans="1:9" x14ac:dyDescent="0.35">
      <c r="A52" t="s">
        <v>65</v>
      </c>
      <c r="B52" s="1">
        <v>45183</v>
      </c>
      <c r="C52" t="s">
        <v>8</v>
      </c>
      <c r="D52" t="s">
        <v>25</v>
      </c>
      <c r="E52" s="6">
        <v>37333</v>
      </c>
      <c r="F52">
        <v>10</v>
      </c>
      <c r="G52" t="str">
        <f>PROPER(TRIM(Table1[[#This Row],[Product]]))</f>
        <v>Tablet</v>
      </c>
      <c r="H52" t="str">
        <f>PROPER(TRIM(Table1[[#This Row],[Region]]))</f>
        <v>North</v>
      </c>
      <c r="I52" s="6">
        <f>Table1[[#This Row],[Sales]]*Table1[[#This Row],[Quantity]]</f>
        <v>373330</v>
      </c>
    </row>
    <row r="53" spans="1:9" x14ac:dyDescent="0.35">
      <c r="A53" t="s">
        <v>66</v>
      </c>
      <c r="B53" s="1">
        <v>44940</v>
      </c>
      <c r="C53" t="s">
        <v>33</v>
      </c>
      <c r="D53" t="s">
        <v>13</v>
      </c>
      <c r="E53" s="6">
        <v>18586</v>
      </c>
      <c r="F53">
        <v>6</v>
      </c>
      <c r="G53" t="str">
        <f>PROPER(TRIM(Table1[[#This Row],[Product]]))</f>
        <v>Laptop</v>
      </c>
      <c r="H53" t="str">
        <f>PROPER(TRIM(Table1[[#This Row],[Region]]))</f>
        <v>South</v>
      </c>
      <c r="I53" s="6">
        <f>Table1[[#This Row],[Sales]]*Table1[[#This Row],[Quantity]]</f>
        <v>111516</v>
      </c>
    </row>
    <row r="54" spans="1:9" x14ac:dyDescent="0.35">
      <c r="A54" t="s">
        <v>67</v>
      </c>
      <c r="B54" s="1">
        <v>45103</v>
      </c>
      <c r="C54" t="s">
        <v>33</v>
      </c>
      <c r="D54" t="s">
        <v>31</v>
      </c>
      <c r="E54" s="6">
        <v>40525</v>
      </c>
      <c r="F54">
        <v>6</v>
      </c>
      <c r="G54" t="str">
        <f>PROPER(TRIM(Table1[[#This Row],[Product]]))</f>
        <v>Monitor</v>
      </c>
      <c r="H54" t="str">
        <f>PROPER(TRIM(Table1[[#This Row],[Region]]))</f>
        <v>South</v>
      </c>
      <c r="I54" s="6">
        <f>Table1[[#This Row],[Sales]]*Table1[[#This Row],[Quantity]]</f>
        <v>243150</v>
      </c>
    </row>
    <row r="55" spans="1:9" x14ac:dyDescent="0.35">
      <c r="A55" t="s">
        <v>68</v>
      </c>
      <c r="B55" s="1">
        <v>45029</v>
      </c>
      <c r="C55" t="s">
        <v>30</v>
      </c>
      <c r="D55" t="s">
        <v>40</v>
      </c>
      <c r="E55" s="6">
        <v>41257</v>
      </c>
      <c r="F55">
        <v>8</v>
      </c>
      <c r="G55" t="str">
        <f>PROPER(TRIM(Table1[[#This Row],[Product]]))</f>
        <v>Headphones</v>
      </c>
      <c r="H55" t="str">
        <f>PROPER(TRIM(Table1[[#This Row],[Region]]))</f>
        <v>West</v>
      </c>
      <c r="I55" s="6">
        <f>Table1[[#This Row],[Sales]]*Table1[[#This Row],[Quantity]]</f>
        <v>330056</v>
      </c>
    </row>
    <row r="56" spans="1:9" x14ac:dyDescent="0.35">
      <c r="A56" t="s">
        <v>69</v>
      </c>
      <c r="B56" s="1">
        <v>45164</v>
      </c>
      <c r="C56" t="s">
        <v>30</v>
      </c>
      <c r="D56" t="s">
        <v>28</v>
      </c>
      <c r="E56" s="6">
        <v>24988</v>
      </c>
      <c r="F56">
        <v>6</v>
      </c>
      <c r="G56" t="str">
        <f>PROPER(TRIM(Table1[[#This Row],[Product]]))</f>
        <v>Phone</v>
      </c>
      <c r="H56" t="str">
        <f>PROPER(TRIM(Table1[[#This Row],[Region]]))</f>
        <v>West</v>
      </c>
      <c r="I56" s="6">
        <f>Table1[[#This Row],[Sales]]*Table1[[#This Row],[Quantity]]</f>
        <v>149928</v>
      </c>
    </row>
    <row r="57" spans="1:9" x14ac:dyDescent="0.35">
      <c r="A57" t="s">
        <v>70</v>
      </c>
      <c r="B57" s="1">
        <v>45156</v>
      </c>
      <c r="C57" t="s">
        <v>30</v>
      </c>
      <c r="D57" t="s">
        <v>13</v>
      </c>
      <c r="E57" s="6">
        <v>29690</v>
      </c>
      <c r="F57">
        <v>8</v>
      </c>
      <c r="G57" t="str">
        <f>PROPER(TRIM(Table1[[#This Row],[Product]]))</f>
        <v>Laptop</v>
      </c>
      <c r="H57" t="str">
        <f>PROPER(TRIM(Table1[[#This Row],[Region]]))</f>
        <v>West</v>
      </c>
      <c r="I57" s="6">
        <f>Table1[[#This Row],[Sales]]*Table1[[#This Row],[Quantity]]</f>
        <v>237520</v>
      </c>
    </row>
    <row r="58" spans="1:9" x14ac:dyDescent="0.35">
      <c r="A58" t="s">
        <v>71</v>
      </c>
      <c r="B58" s="1">
        <v>45013</v>
      </c>
      <c r="C58" t="s">
        <v>33</v>
      </c>
      <c r="D58" t="s">
        <v>13</v>
      </c>
      <c r="E58" s="6">
        <v>24015</v>
      </c>
      <c r="F58">
        <v>1</v>
      </c>
      <c r="G58" t="str">
        <f>PROPER(TRIM(Table1[[#This Row],[Product]]))</f>
        <v>Laptop</v>
      </c>
      <c r="H58" t="str">
        <f>PROPER(TRIM(Table1[[#This Row],[Region]]))</f>
        <v>South</v>
      </c>
      <c r="I58" s="6">
        <f>Table1[[#This Row],[Sales]]*Table1[[#This Row],[Quantity]]</f>
        <v>24015</v>
      </c>
    </row>
    <row r="59" spans="1:9" x14ac:dyDescent="0.35">
      <c r="A59" t="s">
        <v>72</v>
      </c>
      <c r="B59" s="1">
        <v>44947</v>
      </c>
      <c r="C59" t="s">
        <v>8</v>
      </c>
      <c r="D59" t="s">
        <v>28</v>
      </c>
      <c r="E59" s="6">
        <v>20992</v>
      </c>
      <c r="F59">
        <v>6</v>
      </c>
      <c r="G59" t="str">
        <f>PROPER(TRIM(Table1[[#This Row],[Product]]))</f>
        <v>Phone</v>
      </c>
      <c r="H59" t="str">
        <f>PROPER(TRIM(Table1[[#This Row],[Region]]))</f>
        <v>North</v>
      </c>
      <c r="I59" s="6">
        <f>Table1[[#This Row],[Sales]]*Table1[[#This Row],[Quantity]]</f>
        <v>125952</v>
      </c>
    </row>
    <row r="60" spans="1:9" x14ac:dyDescent="0.35">
      <c r="A60" t="s">
        <v>73</v>
      </c>
      <c r="B60" s="1">
        <v>45104</v>
      </c>
      <c r="C60" t="s">
        <v>8</v>
      </c>
      <c r="D60" t="s">
        <v>25</v>
      </c>
      <c r="E60" s="6">
        <v>3122</v>
      </c>
      <c r="F60">
        <v>8</v>
      </c>
      <c r="G60" t="str">
        <f>PROPER(TRIM(Table1[[#This Row],[Product]]))</f>
        <v>Tablet</v>
      </c>
      <c r="H60" t="str">
        <f>PROPER(TRIM(Table1[[#This Row],[Region]]))</f>
        <v>North</v>
      </c>
      <c r="I60" s="6">
        <f>Table1[[#This Row],[Sales]]*Table1[[#This Row],[Quantity]]</f>
        <v>24976</v>
      </c>
    </row>
    <row r="61" spans="1:9" x14ac:dyDescent="0.35">
      <c r="A61" t="s">
        <v>74</v>
      </c>
      <c r="B61" s="1">
        <v>45029</v>
      </c>
      <c r="C61" t="s">
        <v>18</v>
      </c>
      <c r="D61" t="s">
        <v>25</v>
      </c>
      <c r="E61" s="6">
        <v>44637</v>
      </c>
      <c r="F61">
        <v>7</v>
      </c>
      <c r="G61" t="str">
        <f>PROPER(TRIM(Table1[[#This Row],[Product]]))</f>
        <v>Tablet</v>
      </c>
      <c r="H61" t="str">
        <f>PROPER(TRIM(Table1[[#This Row],[Region]]))</f>
        <v>East</v>
      </c>
      <c r="I61" s="6">
        <f>Table1[[#This Row],[Sales]]*Table1[[#This Row],[Quantity]]</f>
        <v>312459</v>
      </c>
    </row>
    <row r="62" spans="1:9" x14ac:dyDescent="0.35">
      <c r="A62" t="s">
        <v>75</v>
      </c>
      <c r="B62" s="1">
        <v>45077</v>
      </c>
      <c r="C62" t="s">
        <v>8</v>
      </c>
      <c r="D62" t="s">
        <v>40</v>
      </c>
      <c r="E62" s="6">
        <v>7065</v>
      </c>
      <c r="F62">
        <v>7</v>
      </c>
      <c r="G62" t="str">
        <f>PROPER(TRIM(Table1[[#This Row],[Product]]))</f>
        <v>Headphones</v>
      </c>
      <c r="H62" t="str">
        <f>PROPER(TRIM(Table1[[#This Row],[Region]]))</f>
        <v>North</v>
      </c>
      <c r="I62" s="6">
        <f>Table1[[#This Row],[Sales]]*Table1[[#This Row],[Quantity]]</f>
        <v>49455</v>
      </c>
    </row>
    <row r="63" spans="1:9" x14ac:dyDescent="0.35">
      <c r="A63" t="s">
        <v>76</v>
      </c>
      <c r="B63" s="1">
        <v>45124</v>
      </c>
      <c r="C63" t="s">
        <v>18</v>
      </c>
      <c r="D63" t="s">
        <v>25</v>
      </c>
      <c r="E63" s="6">
        <v>49765</v>
      </c>
      <c r="F63">
        <v>8</v>
      </c>
      <c r="G63" t="str">
        <f>PROPER(TRIM(Table1[[#This Row],[Product]]))</f>
        <v>Tablet</v>
      </c>
      <c r="H63" t="str">
        <f>PROPER(TRIM(Table1[[#This Row],[Region]]))</f>
        <v>East</v>
      </c>
      <c r="I63" s="6">
        <f>Table1[[#This Row],[Sales]]*Table1[[#This Row],[Quantity]]</f>
        <v>398120</v>
      </c>
    </row>
    <row r="64" spans="1:9" x14ac:dyDescent="0.35">
      <c r="A64" t="s">
        <v>77</v>
      </c>
      <c r="B64" s="1">
        <v>45013</v>
      </c>
      <c r="C64" t="s">
        <v>30</v>
      </c>
      <c r="D64" t="s">
        <v>13</v>
      </c>
      <c r="E64" s="6">
        <v>28230</v>
      </c>
      <c r="F64">
        <v>8</v>
      </c>
      <c r="G64" t="str">
        <f>PROPER(TRIM(Table1[[#This Row],[Product]]))</f>
        <v>Laptop</v>
      </c>
      <c r="H64" t="str">
        <f>PROPER(TRIM(Table1[[#This Row],[Region]]))</f>
        <v>West</v>
      </c>
      <c r="I64" s="6">
        <f>Table1[[#This Row],[Sales]]*Table1[[#This Row],[Quantity]]</f>
        <v>225840</v>
      </c>
    </row>
    <row r="65" spans="1:9" x14ac:dyDescent="0.35">
      <c r="A65" t="s">
        <v>78</v>
      </c>
      <c r="B65" s="1">
        <v>45281</v>
      </c>
      <c r="C65" t="s">
        <v>8</v>
      </c>
      <c r="D65" t="s">
        <v>28</v>
      </c>
      <c r="E65" s="6">
        <v>39389</v>
      </c>
      <c r="F65">
        <v>10</v>
      </c>
      <c r="G65" t="str">
        <f>PROPER(TRIM(Table1[[#This Row],[Product]]))</f>
        <v>Phone</v>
      </c>
      <c r="H65" t="str">
        <f>PROPER(TRIM(Table1[[#This Row],[Region]]))</f>
        <v>North</v>
      </c>
      <c r="I65" s="6">
        <f>Table1[[#This Row],[Sales]]*Table1[[#This Row],[Quantity]]</f>
        <v>393890</v>
      </c>
    </row>
    <row r="66" spans="1:9" x14ac:dyDescent="0.35">
      <c r="A66" t="s">
        <v>79</v>
      </c>
      <c r="B66" s="1">
        <v>45157</v>
      </c>
      <c r="C66" t="s">
        <v>18</v>
      </c>
      <c r="D66" t="s">
        <v>13</v>
      </c>
      <c r="E66" s="6">
        <v>25569</v>
      </c>
      <c r="F66">
        <v>2</v>
      </c>
      <c r="G66" t="str">
        <f>PROPER(TRIM(Table1[[#This Row],[Product]]))</f>
        <v>Laptop</v>
      </c>
      <c r="H66" t="str">
        <f>PROPER(TRIM(Table1[[#This Row],[Region]]))</f>
        <v>East</v>
      </c>
      <c r="I66" s="6">
        <f>Table1[[#This Row],[Sales]]*Table1[[#This Row],[Quantity]]</f>
        <v>51138</v>
      </c>
    </row>
    <row r="67" spans="1:9" x14ac:dyDescent="0.35">
      <c r="A67" t="s">
        <v>80</v>
      </c>
      <c r="B67" s="1">
        <v>45175</v>
      </c>
      <c r="C67" t="s">
        <v>8</v>
      </c>
      <c r="D67" t="s">
        <v>28</v>
      </c>
      <c r="E67" s="6">
        <v>2217</v>
      </c>
      <c r="F67">
        <v>3</v>
      </c>
      <c r="G67" t="str">
        <f>PROPER(TRIM(Table1[[#This Row],[Product]]))</f>
        <v>Phone</v>
      </c>
      <c r="H67" t="str">
        <f>PROPER(TRIM(Table1[[#This Row],[Region]]))</f>
        <v>North</v>
      </c>
      <c r="I67" s="6">
        <f>Table1[[#This Row],[Sales]]*Table1[[#This Row],[Quantity]]</f>
        <v>6651</v>
      </c>
    </row>
    <row r="68" spans="1:9" x14ac:dyDescent="0.35">
      <c r="A68" t="s">
        <v>81</v>
      </c>
      <c r="B68" s="1">
        <v>44932</v>
      </c>
      <c r="C68" t="s">
        <v>18</v>
      </c>
      <c r="D68" t="s">
        <v>28</v>
      </c>
      <c r="E68" s="6">
        <v>2347</v>
      </c>
      <c r="F68">
        <v>10</v>
      </c>
      <c r="G68" t="str">
        <f>PROPER(TRIM(Table1[[#This Row],[Product]]))</f>
        <v>Phone</v>
      </c>
      <c r="H68" t="str">
        <f>PROPER(TRIM(Table1[[#This Row],[Region]]))</f>
        <v>East</v>
      </c>
      <c r="I68" s="6">
        <f>Table1[[#This Row],[Sales]]*Table1[[#This Row],[Quantity]]</f>
        <v>23470</v>
      </c>
    </row>
    <row r="69" spans="1:9" x14ac:dyDescent="0.35">
      <c r="A69" t="s">
        <v>82</v>
      </c>
      <c r="B69" s="1">
        <v>44978</v>
      </c>
      <c r="C69" t="s">
        <v>8</v>
      </c>
      <c r="D69" t="s">
        <v>40</v>
      </c>
      <c r="E69" s="6">
        <v>8058</v>
      </c>
      <c r="F69">
        <v>10</v>
      </c>
      <c r="G69" t="str">
        <f>PROPER(TRIM(Table1[[#This Row],[Product]]))</f>
        <v>Headphones</v>
      </c>
      <c r="H69" t="str">
        <f>PROPER(TRIM(Table1[[#This Row],[Region]]))</f>
        <v>North</v>
      </c>
      <c r="I69" s="6">
        <f>Table1[[#This Row],[Sales]]*Table1[[#This Row],[Quantity]]</f>
        <v>80580</v>
      </c>
    </row>
    <row r="70" spans="1:9" x14ac:dyDescent="0.35">
      <c r="A70" t="s">
        <v>83</v>
      </c>
      <c r="B70" s="1">
        <v>45175</v>
      </c>
      <c r="C70" t="s">
        <v>18</v>
      </c>
      <c r="D70" t="s">
        <v>31</v>
      </c>
      <c r="E70" s="6">
        <v>44899</v>
      </c>
      <c r="F70">
        <v>10</v>
      </c>
      <c r="G70" t="str">
        <f>PROPER(TRIM(Table1[[#This Row],[Product]]))</f>
        <v>Monitor</v>
      </c>
      <c r="H70" t="str">
        <f>PROPER(TRIM(Table1[[#This Row],[Region]]))</f>
        <v>East</v>
      </c>
      <c r="I70" s="6">
        <f>Table1[[#This Row],[Sales]]*Table1[[#This Row],[Quantity]]</f>
        <v>448990</v>
      </c>
    </row>
    <row r="71" spans="1:9" x14ac:dyDescent="0.35">
      <c r="A71" t="s">
        <v>84</v>
      </c>
      <c r="B71" s="1">
        <v>45121</v>
      </c>
      <c r="C71" t="s">
        <v>8</v>
      </c>
      <c r="D71" t="s">
        <v>25</v>
      </c>
      <c r="E71" s="6">
        <v>8499</v>
      </c>
      <c r="F71">
        <v>2</v>
      </c>
      <c r="G71" t="str">
        <f>PROPER(TRIM(Table1[[#This Row],[Product]]))</f>
        <v>Tablet</v>
      </c>
      <c r="H71" t="str">
        <f>PROPER(TRIM(Table1[[#This Row],[Region]]))</f>
        <v>North</v>
      </c>
      <c r="I71" s="6">
        <f>Table1[[#This Row],[Sales]]*Table1[[#This Row],[Quantity]]</f>
        <v>16998</v>
      </c>
    </row>
    <row r="72" spans="1:9" x14ac:dyDescent="0.35">
      <c r="A72" t="s">
        <v>85</v>
      </c>
      <c r="B72" s="1">
        <v>45278</v>
      </c>
      <c r="C72" t="s">
        <v>30</v>
      </c>
      <c r="D72" t="s">
        <v>31</v>
      </c>
      <c r="E72" s="6">
        <v>43189</v>
      </c>
      <c r="F72">
        <v>1</v>
      </c>
      <c r="G72" t="str">
        <f>PROPER(TRIM(Table1[[#This Row],[Product]]))</f>
        <v>Monitor</v>
      </c>
      <c r="H72" t="str">
        <f>PROPER(TRIM(Table1[[#This Row],[Region]]))</f>
        <v>West</v>
      </c>
      <c r="I72" s="6">
        <f>Table1[[#This Row],[Sales]]*Table1[[#This Row],[Quantity]]</f>
        <v>43189</v>
      </c>
    </row>
    <row r="73" spans="1:9" x14ac:dyDescent="0.35">
      <c r="A73" t="s">
        <v>86</v>
      </c>
      <c r="B73" s="1">
        <v>45147</v>
      </c>
      <c r="C73" t="s">
        <v>18</v>
      </c>
      <c r="D73" t="s">
        <v>25</v>
      </c>
      <c r="E73" s="6">
        <v>23770</v>
      </c>
      <c r="F73">
        <v>4</v>
      </c>
      <c r="G73" t="str">
        <f>PROPER(TRIM(Table1[[#This Row],[Product]]))</f>
        <v>Tablet</v>
      </c>
      <c r="H73" t="str">
        <f>PROPER(TRIM(Table1[[#This Row],[Region]]))</f>
        <v>East</v>
      </c>
      <c r="I73" s="6">
        <f>Table1[[#This Row],[Sales]]*Table1[[#This Row],[Quantity]]</f>
        <v>95080</v>
      </c>
    </row>
    <row r="74" spans="1:9" x14ac:dyDescent="0.35">
      <c r="A74" t="s">
        <v>87</v>
      </c>
      <c r="B74" s="1">
        <v>45240</v>
      </c>
      <c r="C74" t="s">
        <v>30</v>
      </c>
      <c r="D74" t="s">
        <v>28</v>
      </c>
      <c r="E74" s="6">
        <v>25380</v>
      </c>
      <c r="F74">
        <v>7</v>
      </c>
      <c r="G74" t="str">
        <f>PROPER(TRIM(Table1[[#This Row],[Product]]))</f>
        <v>Phone</v>
      </c>
      <c r="H74" t="str">
        <f>PROPER(TRIM(Table1[[#This Row],[Region]]))</f>
        <v>West</v>
      </c>
      <c r="I74" s="6">
        <f>Table1[[#This Row],[Sales]]*Table1[[#This Row],[Quantity]]</f>
        <v>177660</v>
      </c>
    </row>
    <row r="75" spans="1:9" x14ac:dyDescent="0.35">
      <c r="A75" t="s">
        <v>88</v>
      </c>
      <c r="B75" s="1">
        <v>45074</v>
      </c>
      <c r="C75" t="s">
        <v>30</v>
      </c>
      <c r="D75" t="s">
        <v>40</v>
      </c>
      <c r="E75" s="6">
        <v>4368</v>
      </c>
      <c r="F75">
        <v>5</v>
      </c>
      <c r="G75" t="str">
        <f>PROPER(TRIM(Table1[[#This Row],[Product]]))</f>
        <v>Headphones</v>
      </c>
      <c r="H75" t="str">
        <f>PROPER(TRIM(Table1[[#This Row],[Region]]))</f>
        <v>West</v>
      </c>
      <c r="I75" s="6">
        <f>Table1[[#This Row],[Sales]]*Table1[[#This Row],[Quantity]]</f>
        <v>21840</v>
      </c>
    </row>
    <row r="76" spans="1:9" x14ac:dyDescent="0.35">
      <c r="A76" t="s">
        <v>89</v>
      </c>
      <c r="B76" s="1">
        <v>45251</v>
      </c>
      <c r="C76" t="s">
        <v>30</v>
      </c>
      <c r="D76" t="s">
        <v>40</v>
      </c>
      <c r="E76" s="6">
        <v>19417</v>
      </c>
      <c r="F76">
        <v>6</v>
      </c>
      <c r="G76" t="str">
        <f>PROPER(TRIM(Table1[[#This Row],[Product]]))</f>
        <v>Headphones</v>
      </c>
      <c r="H76" t="str">
        <f>PROPER(TRIM(Table1[[#This Row],[Region]]))</f>
        <v>West</v>
      </c>
      <c r="I76" s="6">
        <f>Table1[[#This Row],[Sales]]*Table1[[#This Row],[Quantity]]</f>
        <v>116502</v>
      </c>
    </row>
    <row r="77" spans="1:9" x14ac:dyDescent="0.35">
      <c r="A77" t="s">
        <v>90</v>
      </c>
      <c r="B77" s="1">
        <v>45074</v>
      </c>
      <c r="C77" t="s">
        <v>30</v>
      </c>
      <c r="D77" t="s">
        <v>25</v>
      </c>
      <c r="E77" s="6">
        <v>13690</v>
      </c>
      <c r="F77">
        <v>9</v>
      </c>
      <c r="G77" t="str">
        <f>PROPER(TRIM(Table1[[#This Row],[Product]]))</f>
        <v>Tablet</v>
      </c>
      <c r="H77" t="str">
        <f>PROPER(TRIM(Table1[[#This Row],[Region]]))</f>
        <v>West</v>
      </c>
      <c r="I77" s="6">
        <f>Table1[[#This Row],[Sales]]*Table1[[#This Row],[Quantity]]</f>
        <v>123210</v>
      </c>
    </row>
    <row r="78" spans="1:9" x14ac:dyDescent="0.35">
      <c r="A78" t="s">
        <v>90</v>
      </c>
      <c r="B78" s="1">
        <v>45074</v>
      </c>
      <c r="C78" t="s">
        <v>30</v>
      </c>
      <c r="D78" t="s">
        <v>25</v>
      </c>
      <c r="E78" s="6">
        <v>13690</v>
      </c>
      <c r="F78">
        <v>9</v>
      </c>
      <c r="G78" t="str">
        <f>PROPER(TRIM(Table1[[#This Row],[Product]]))</f>
        <v>Tablet</v>
      </c>
      <c r="H78" t="str">
        <f>PROPER(TRIM(Table1[[#This Row],[Region]]))</f>
        <v>West</v>
      </c>
      <c r="I78" s="6">
        <f>Table1[[#This Row],[Sales]]*Table1[[#This Row],[Quantity]]</f>
        <v>123210</v>
      </c>
    </row>
    <row r="79" spans="1:9" x14ac:dyDescent="0.35">
      <c r="A79" t="s">
        <v>91</v>
      </c>
      <c r="B79" s="1">
        <v>45235</v>
      </c>
      <c r="C79" t="s">
        <v>30</v>
      </c>
      <c r="D79" t="s">
        <v>25</v>
      </c>
      <c r="E79" s="6">
        <v>30783</v>
      </c>
      <c r="F79">
        <v>5</v>
      </c>
      <c r="G79" t="str">
        <f>PROPER(TRIM(Table1[[#This Row],[Product]]))</f>
        <v>Tablet</v>
      </c>
      <c r="H79" t="str">
        <f>PROPER(TRIM(Table1[[#This Row],[Region]]))</f>
        <v>West</v>
      </c>
      <c r="I79" s="6">
        <f>Table1[[#This Row],[Sales]]*Table1[[#This Row],[Quantity]]</f>
        <v>153915</v>
      </c>
    </row>
    <row r="80" spans="1:9" x14ac:dyDescent="0.35">
      <c r="A80" t="s">
        <v>92</v>
      </c>
      <c r="B80" s="1">
        <v>44942</v>
      </c>
      <c r="C80" t="s">
        <v>33</v>
      </c>
      <c r="D80" t="s">
        <v>28</v>
      </c>
      <c r="E80" s="6">
        <v>23151</v>
      </c>
      <c r="F80">
        <v>7</v>
      </c>
      <c r="G80" t="str">
        <f>PROPER(TRIM(Table1[[#This Row],[Product]]))</f>
        <v>Phone</v>
      </c>
      <c r="H80" t="str">
        <f>PROPER(TRIM(Table1[[#This Row],[Region]]))</f>
        <v>South</v>
      </c>
      <c r="I80" s="6">
        <f>Table1[[#This Row],[Sales]]*Table1[[#This Row],[Quantity]]</f>
        <v>162057</v>
      </c>
    </row>
    <row r="81" spans="1:9" x14ac:dyDescent="0.35">
      <c r="A81" t="s">
        <v>93</v>
      </c>
      <c r="B81" s="1">
        <v>45267</v>
      </c>
      <c r="C81" t="s">
        <v>30</v>
      </c>
      <c r="D81" t="s">
        <v>31</v>
      </c>
      <c r="E81" s="6">
        <v>44456</v>
      </c>
      <c r="F81">
        <v>3</v>
      </c>
      <c r="G81" t="str">
        <f>PROPER(TRIM(Table1[[#This Row],[Product]]))</f>
        <v>Monitor</v>
      </c>
      <c r="H81" t="str">
        <f>PROPER(TRIM(Table1[[#This Row],[Region]]))</f>
        <v>West</v>
      </c>
      <c r="I81" s="6">
        <f>Table1[[#This Row],[Sales]]*Table1[[#This Row],[Quantity]]</f>
        <v>133368</v>
      </c>
    </row>
    <row r="82" spans="1:9" x14ac:dyDescent="0.35">
      <c r="A82" t="s">
        <v>94</v>
      </c>
      <c r="B82" s="1">
        <v>45148</v>
      </c>
      <c r="C82" t="s">
        <v>18</v>
      </c>
      <c r="D82" t="s">
        <v>40</v>
      </c>
      <c r="E82" s="6">
        <v>1656</v>
      </c>
      <c r="F82">
        <v>9</v>
      </c>
      <c r="G82" t="str">
        <f>PROPER(TRIM(Table1[[#This Row],[Product]]))</f>
        <v>Headphones</v>
      </c>
      <c r="H82" t="str">
        <f>PROPER(TRIM(Table1[[#This Row],[Region]]))</f>
        <v>East</v>
      </c>
      <c r="I82" s="6">
        <f>Table1[[#This Row],[Sales]]*Table1[[#This Row],[Quantity]]</f>
        <v>14904</v>
      </c>
    </row>
    <row r="83" spans="1:9" x14ac:dyDescent="0.35">
      <c r="A83" t="s">
        <v>95</v>
      </c>
      <c r="B83" s="1">
        <v>45088</v>
      </c>
      <c r="C83" t="s">
        <v>8</v>
      </c>
      <c r="D83" t="s">
        <v>40</v>
      </c>
      <c r="E83" s="6">
        <v>4152</v>
      </c>
      <c r="F83">
        <v>10</v>
      </c>
      <c r="G83" t="str">
        <f>PROPER(TRIM(Table1[[#This Row],[Product]]))</f>
        <v>Headphones</v>
      </c>
      <c r="H83" t="str">
        <f>PROPER(TRIM(Table1[[#This Row],[Region]]))</f>
        <v>North</v>
      </c>
      <c r="I83" s="6">
        <f>Table1[[#This Row],[Sales]]*Table1[[#This Row],[Quantity]]</f>
        <v>41520</v>
      </c>
    </row>
    <row r="84" spans="1:9" x14ac:dyDescent="0.35">
      <c r="A84" t="s">
        <v>96</v>
      </c>
      <c r="B84" s="1">
        <v>45089</v>
      </c>
      <c r="C84" t="s">
        <v>8</v>
      </c>
      <c r="D84" t="s">
        <v>28</v>
      </c>
      <c r="E84" s="6">
        <v>32651</v>
      </c>
      <c r="F84">
        <v>5</v>
      </c>
      <c r="G84" t="str">
        <f>PROPER(TRIM(Table1[[#This Row],[Product]]))</f>
        <v>Phone</v>
      </c>
      <c r="H84" t="str">
        <f>PROPER(TRIM(Table1[[#This Row],[Region]]))</f>
        <v>North</v>
      </c>
      <c r="I84" s="6">
        <f>Table1[[#This Row],[Sales]]*Table1[[#This Row],[Quantity]]</f>
        <v>163255</v>
      </c>
    </row>
    <row r="85" spans="1:9" x14ac:dyDescent="0.35">
      <c r="A85" t="s">
        <v>97</v>
      </c>
      <c r="B85" s="1">
        <v>45130</v>
      </c>
      <c r="C85" t="s">
        <v>18</v>
      </c>
      <c r="D85" t="s">
        <v>13</v>
      </c>
      <c r="E85" s="6">
        <v>15722</v>
      </c>
      <c r="F85">
        <v>5</v>
      </c>
      <c r="G85" t="str">
        <f>PROPER(TRIM(Table1[[#This Row],[Product]]))</f>
        <v>Laptop</v>
      </c>
      <c r="H85" t="str">
        <f>PROPER(TRIM(Table1[[#This Row],[Region]]))</f>
        <v>East</v>
      </c>
      <c r="I85" s="6">
        <f>Table1[[#This Row],[Sales]]*Table1[[#This Row],[Quantity]]</f>
        <v>78610</v>
      </c>
    </row>
    <row r="86" spans="1:9" x14ac:dyDescent="0.35">
      <c r="A86" t="s">
        <v>98</v>
      </c>
      <c r="B86" s="1">
        <v>44965</v>
      </c>
      <c r="C86" t="s">
        <v>8</v>
      </c>
      <c r="D86" t="s">
        <v>28</v>
      </c>
      <c r="E86" s="6">
        <v>11398</v>
      </c>
      <c r="F86">
        <v>2</v>
      </c>
      <c r="G86" t="str">
        <f>PROPER(TRIM(Table1[[#This Row],[Product]]))</f>
        <v>Phone</v>
      </c>
      <c r="H86" t="str">
        <f>PROPER(TRIM(Table1[[#This Row],[Region]]))</f>
        <v>North</v>
      </c>
      <c r="I86" s="6">
        <f>Table1[[#This Row],[Sales]]*Table1[[#This Row],[Quantity]]</f>
        <v>22796</v>
      </c>
    </row>
    <row r="87" spans="1:9" x14ac:dyDescent="0.35">
      <c r="A87" t="s">
        <v>99</v>
      </c>
      <c r="B87" s="1">
        <v>44990</v>
      </c>
      <c r="C87" t="s">
        <v>18</v>
      </c>
      <c r="D87" t="s">
        <v>40</v>
      </c>
      <c r="E87" s="6">
        <v>36360</v>
      </c>
      <c r="F87">
        <v>5</v>
      </c>
      <c r="G87" t="str">
        <f>PROPER(TRIM(Table1[[#This Row],[Product]]))</f>
        <v>Headphones</v>
      </c>
      <c r="H87" t="str">
        <f>PROPER(TRIM(Table1[[#This Row],[Region]]))</f>
        <v>East</v>
      </c>
      <c r="I87" s="6">
        <f>Table1[[#This Row],[Sales]]*Table1[[#This Row],[Quantity]]</f>
        <v>181800</v>
      </c>
    </row>
    <row r="88" spans="1:9" x14ac:dyDescent="0.35">
      <c r="A88" t="s">
        <v>100</v>
      </c>
      <c r="B88" s="1">
        <v>44951</v>
      </c>
      <c r="C88" t="s">
        <v>30</v>
      </c>
      <c r="D88" t="s">
        <v>28</v>
      </c>
      <c r="E88" s="6">
        <v>6446</v>
      </c>
      <c r="F88">
        <v>8</v>
      </c>
      <c r="G88" t="str">
        <f>PROPER(TRIM(Table1[[#This Row],[Product]]))</f>
        <v>Phone</v>
      </c>
      <c r="H88" t="str">
        <f>PROPER(TRIM(Table1[[#This Row],[Region]]))</f>
        <v>West</v>
      </c>
      <c r="I88" s="6">
        <f>Table1[[#This Row],[Sales]]*Table1[[#This Row],[Quantity]]</f>
        <v>51568</v>
      </c>
    </row>
    <row r="89" spans="1:9" x14ac:dyDescent="0.35">
      <c r="A89" t="s">
        <v>101</v>
      </c>
      <c r="B89" s="1">
        <v>44951</v>
      </c>
      <c r="C89" t="s">
        <v>33</v>
      </c>
      <c r="D89" t="s">
        <v>13</v>
      </c>
      <c r="E89" s="6">
        <v>29343</v>
      </c>
      <c r="F89">
        <v>5</v>
      </c>
      <c r="G89" t="str">
        <f>PROPER(TRIM(Table1[[#This Row],[Product]]))</f>
        <v>Laptop</v>
      </c>
      <c r="H89" t="str">
        <f>PROPER(TRIM(Table1[[#This Row],[Region]]))</f>
        <v>South</v>
      </c>
      <c r="I89" s="6">
        <f>Table1[[#This Row],[Sales]]*Table1[[#This Row],[Quantity]]</f>
        <v>146715</v>
      </c>
    </row>
    <row r="90" spans="1:9" x14ac:dyDescent="0.35">
      <c r="A90" t="s">
        <v>102</v>
      </c>
      <c r="B90" s="1">
        <v>44985</v>
      </c>
      <c r="C90" t="s">
        <v>33</v>
      </c>
      <c r="D90" t="s">
        <v>25</v>
      </c>
      <c r="E90" s="6">
        <v>4519</v>
      </c>
      <c r="F90">
        <v>6</v>
      </c>
      <c r="G90" t="str">
        <f>PROPER(TRIM(Table1[[#This Row],[Product]]))</f>
        <v>Tablet</v>
      </c>
      <c r="H90" t="str">
        <f>PROPER(TRIM(Table1[[#This Row],[Region]]))</f>
        <v>South</v>
      </c>
      <c r="I90" s="6">
        <f>Table1[[#This Row],[Sales]]*Table1[[#This Row],[Quantity]]</f>
        <v>27114</v>
      </c>
    </row>
    <row r="91" spans="1:9" x14ac:dyDescent="0.35">
      <c r="A91" t="s">
        <v>103</v>
      </c>
      <c r="B91" s="1">
        <v>45171</v>
      </c>
      <c r="C91" t="s">
        <v>18</v>
      </c>
      <c r="D91" t="s">
        <v>40</v>
      </c>
      <c r="E91" s="6">
        <v>11118</v>
      </c>
      <c r="F91">
        <v>1</v>
      </c>
      <c r="G91" t="str">
        <f>PROPER(TRIM(Table1[[#This Row],[Product]]))</f>
        <v>Headphones</v>
      </c>
      <c r="H91" t="str">
        <f>PROPER(TRIM(Table1[[#This Row],[Region]]))</f>
        <v>East</v>
      </c>
      <c r="I91" s="6">
        <f>Table1[[#This Row],[Sales]]*Table1[[#This Row],[Quantity]]</f>
        <v>11118</v>
      </c>
    </row>
    <row r="92" spans="1:9" x14ac:dyDescent="0.35">
      <c r="A92" t="s">
        <v>104</v>
      </c>
      <c r="B92" s="1">
        <v>45198</v>
      </c>
      <c r="C92" t="s">
        <v>30</v>
      </c>
      <c r="D92" t="s">
        <v>31</v>
      </c>
      <c r="E92" s="6">
        <v>44032</v>
      </c>
      <c r="F92">
        <v>8</v>
      </c>
      <c r="G92" t="str">
        <f>PROPER(TRIM(Table1[[#This Row],[Product]]))</f>
        <v>Monitor</v>
      </c>
      <c r="H92" t="str">
        <f>PROPER(TRIM(Table1[[#This Row],[Region]]))</f>
        <v>West</v>
      </c>
      <c r="I92" s="6">
        <f>Table1[[#This Row],[Sales]]*Table1[[#This Row],[Quantity]]</f>
        <v>352256</v>
      </c>
    </row>
    <row r="93" spans="1:9" x14ac:dyDescent="0.35">
      <c r="A93" t="s">
        <v>105</v>
      </c>
      <c r="B93" s="1">
        <v>45029</v>
      </c>
      <c r="C93" t="s">
        <v>18</v>
      </c>
      <c r="D93" t="s">
        <v>25</v>
      </c>
      <c r="E93" s="6">
        <v>44584</v>
      </c>
      <c r="F93">
        <v>3</v>
      </c>
      <c r="G93" t="str">
        <f>PROPER(TRIM(Table1[[#This Row],[Product]]))</f>
        <v>Tablet</v>
      </c>
      <c r="H93" t="str">
        <f>PROPER(TRIM(Table1[[#This Row],[Region]]))</f>
        <v>East</v>
      </c>
      <c r="I93" s="6">
        <f>Table1[[#This Row],[Sales]]*Table1[[#This Row],[Quantity]]</f>
        <v>133752</v>
      </c>
    </row>
    <row r="94" spans="1:9" x14ac:dyDescent="0.35">
      <c r="A94" t="s">
        <v>106</v>
      </c>
      <c r="B94" s="1">
        <v>44956</v>
      </c>
      <c r="C94" t="s">
        <v>33</v>
      </c>
      <c r="D94" t="s">
        <v>31</v>
      </c>
      <c r="E94" s="6">
        <v>21823</v>
      </c>
      <c r="F94">
        <v>7</v>
      </c>
      <c r="G94" t="str">
        <f>PROPER(TRIM(Table1[[#This Row],[Product]]))</f>
        <v>Monitor</v>
      </c>
      <c r="H94" t="str">
        <f>PROPER(TRIM(Table1[[#This Row],[Region]]))</f>
        <v>South</v>
      </c>
      <c r="I94" s="6">
        <f>Table1[[#This Row],[Sales]]*Table1[[#This Row],[Quantity]]</f>
        <v>152761</v>
      </c>
    </row>
    <row r="95" spans="1:9" x14ac:dyDescent="0.35">
      <c r="A95" t="s">
        <v>107</v>
      </c>
      <c r="B95" s="1">
        <v>45277</v>
      </c>
      <c r="C95" t="s">
        <v>18</v>
      </c>
      <c r="D95" t="s">
        <v>40</v>
      </c>
      <c r="E95" s="6">
        <v>19523</v>
      </c>
      <c r="F95">
        <v>10</v>
      </c>
      <c r="G95" t="str">
        <f>PROPER(TRIM(Table1[[#This Row],[Product]]))</f>
        <v>Headphones</v>
      </c>
      <c r="H95" t="str">
        <f>PROPER(TRIM(Table1[[#This Row],[Region]]))</f>
        <v>East</v>
      </c>
      <c r="I95" s="6">
        <f>Table1[[#This Row],[Sales]]*Table1[[#This Row],[Quantity]]</f>
        <v>195230</v>
      </c>
    </row>
    <row r="96" spans="1:9" x14ac:dyDescent="0.35">
      <c r="A96" t="s">
        <v>108</v>
      </c>
      <c r="B96" s="1">
        <v>45092</v>
      </c>
      <c r="C96" t="s">
        <v>18</v>
      </c>
      <c r="D96" t="s">
        <v>31</v>
      </c>
      <c r="E96" s="6">
        <v>24899</v>
      </c>
      <c r="F96">
        <v>6</v>
      </c>
      <c r="G96" t="str">
        <f>PROPER(TRIM(Table1[[#This Row],[Product]]))</f>
        <v>Monitor</v>
      </c>
      <c r="H96" t="str">
        <f>PROPER(TRIM(Table1[[#This Row],[Region]]))</f>
        <v>East</v>
      </c>
      <c r="I96" s="6">
        <f>Table1[[#This Row],[Sales]]*Table1[[#This Row],[Quantity]]</f>
        <v>149394</v>
      </c>
    </row>
    <row r="97" spans="1:9" x14ac:dyDescent="0.35">
      <c r="A97" t="s">
        <v>109</v>
      </c>
      <c r="B97" s="1">
        <v>45101</v>
      </c>
      <c r="C97" t="s">
        <v>18</v>
      </c>
      <c r="D97" t="s">
        <v>13</v>
      </c>
      <c r="E97" s="6">
        <v>13795</v>
      </c>
      <c r="F97">
        <v>6</v>
      </c>
      <c r="G97" t="str">
        <f>PROPER(TRIM(Table1[[#This Row],[Product]]))</f>
        <v>Laptop</v>
      </c>
      <c r="H97" t="str">
        <f>PROPER(TRIM(Table1[[#This Row],[Region]]))</f>
        <v>East</v>
      </c>
      <c r="I97" s="6">
        <f>Table1[[#This Row],[Sales]]*Table1[[#This Row],[Quantity]]</f>
        <v>82770</v>
      </c>
    </row>
    <row r="98" spans="1:9" x14ac:dyDescent="0.35">
      <c r="A98" t="s">
        <v>110</v>
      </c>
      <c r="B98" s="1">
        <v>45143</v>
      </c>
      <c r="C98" t="s">
        <v>18</v>
      </c>
      <c r="D98" t="s">
        <v>28</v>
      </c>
      <c r="E98" s="6">
        <v>13506</v>
      </c>
      <c r="F98">
        <v>3</v>
      </c>
      <c r="G98" t="str">
        <f>PROPER(TRIM(Table1[[#This Row],[Product]]))</f>
        <v>Phone</v>
      </c>
      <c r="H98" t="str">
        <f>PROPER(TRIM(Table1[[#This Row],[Region]]))</f>
        <v>East</v>
      </c>
      <c r="I98" s="6">
        <f>Table1[[#This Row],[Sales]]*Table1[[#This Row],[Quantity]]</f>
        <v>40518</v>
      </c>
    </row>
    <row r="99" spans="1:9" x14ac:dyDescent="0.35">
      <c r="A99" t="s">
        <v>111</v>
      </c>
      <c r="B99" s="1">
        <v>45197</v>
      </c>
      <c r="C99" t="s">
        <v>8</v>
      </c>
      <c r="D99" t="s">
        <v>40</v>
      </c>
      <c r="E99" s="6">
        <v>29153</v>
      </c>
      <c r="F99">
        <v>5</v>
      </c>
      <c r="G99" t="str">
        <f>PROPER(TRIM(Table1[[#This Row],[Product]]))</f>
        <v>Headphones</v>
      </c>
      <c r="H99" t="str">
        <f>PROPER(TRIM(Table1[[#This Row],[Region]]))</f>
        <v>North</v>
      </c>
      <c r="I99" s="6">
        <f>Table1[[#This Row],[Sales]]*Table1[[#This Row],[Quantity]]</f>
        <v>145765</v>
      </c>
    </row>
    <row r="100" spans="1:9" x14ac:dyDescent="0.35">
      <c r="A100" t="s">
        <v>112</v>
      </c>
      <c r="B100" s="1">
        <v>45122</v>
      </c>
      <c r="C100" t="s">
        <v>8</v>
      </c>
      <c r="D100" t="s">
        <v>31</v>
      </c>
      <c r="E100" s="6">
        <v>20167</v>
      </c>
      <c r="F100">
        <v>2</v>
      </c>
      <c r="G100" t="str">
        <f>PROPER(TRIM(Table1[[#This Row],[Product]]))</f>
        <v>Monitor</v>
      </c>
      <c r="H100" t="str">
        <f>PROPER(TRIM(Table1[[#This Row],[Region]]))</f>
        <v>North</v>
      </c>
      <c r="I100" s="6">
        <f>Table1[[#This Row],[Sales]]*Table1[[#This Row],[Quantity]]</f>
        <v>40334</v>
      </c>
    </row>
    <row r="101" spans="1:9" x14ac:dyDescent="0.35">
      <c r="A101" t="s">
        <v>113</v>
      </c>
      <c r="B101" s="1">
        <v>45126</v>
      </c>
      <c r="C101" t="s">
        <v>18</v>
      </c>
      <c r="D101" t="s">
        <v>25</v>
      </c>
      <c r="E101" s="6">
        <v>41619</v>
      </c>
      <c r="F101">
        <v>6</v>
      </c>
      <c r="G101" t="str">
        <f>PROPER(TRIM(Table1[[#This Row],[Product]]))</f>
        <v>Tablet</v>
      </c>
      <c r="H101" t="str">
        <f>PROPER(TRIM(Table1[[#This Row],[Region]]))</f>
        <v>East</v>
      </c>
      <c r="I101" s="6">
        <f>Table1[[#This Row],[Sales]]*Table1[[#This Row],[Quantity]]</f>
        <v>249714</v>
      </c>
    </row>
    <row r="102" spans="1:9" x14ac:dyDescent="0.35">
      <c r="A102" t="s">
        <v>114</v>
      </c>
      <c r="B102" s="1">
        <v>45113</v>
      </c>
      <c r="C102" t="s">
        <v>33</v>
      </c>
      <c r="D102" t="s">
        <v>25</v>
      </c>
      <c r="E102" s="6">
        <v>49290</v>
      </c>
      <c r="F102">
        <v>7</v>
      </c>
      <c r="G102" t="str">
        <f>PROPER(TRIM(Table1[[#This Row],[Product]]))</f>
        <v>Tablet</v>
      </c>
      <c r="H102" t="str">
        <f>PROPER(TRIM(Table1[[#This Row],[Region]]))</f>
        <v>South</v>
      </c>
      <c r="I102" s="6">
        <f>Table1[[#This Row],[Sales]]*Table1[[#This Row],[Quantity]]</f>
        <v>345030</v>
      </c>
    </row>
    <row r="103" spans="1:9" x14ac:dyDescent="0.35">
      <c r="A103" t="s">
        <v>115</v>
      </c>
      <c r="B103" s="1">
        <v>44998</v>
      </c>
      <c r="C103" t="s">
        <v>33</v>
      </c>
      <c r="D103" t="s">
        <v>28</v>
      </c>
      <c r="E103" s="6">
        <v>15097</v>
      </c>
      <c r="F103">
        <v>6</v>
      </c>
      <c r="G103" t="str">
        <f>PROPER(TRIM(Table1[[#This Row],[Product]]))</f>
        <v>Phone</v>
      </c>
      <c r="H103" t="str">
        <f>PROPER(TRIM(Table1[[#This Row],[Region]]))</f>
        <v>South</v>
      </c>
      <c r="I103" s="6">
        <f>Table1[[#This Row],[Sales]]*Table1[[#This Row],[Quantity]]</f>
        <v>90582</v>
      </c>
    </row>
    <row r="104" spans="1:9" x14ac:dyDescent="0.35">
      <c r="A104" t="s">
        <v>116</v>
      </c>
      <c r="B104" s="1">
        <v>45177</v>
      </c>
      <c r="C104" t="s">
        <v>30</v>
      </c>
      <c r="D104" t="s">
        <v>28</v>
      </c>
      <c r="E104" s="6">
        <v>49554</v>
      </c>
      <c r="F104">
        <v>10</v>
      </c>
      <c r="G104" t="str">
        <f>PROPER(TRIM(Table1[[#This Row],[Product]]))</f>
        <v>Phone</v>
      </c>
      <c r="H104" t="str">
        <f>PROPER(TRIM(Table1[[#This Row],[Region]]))</f>
        <v>West</v>
      </c>
      <c r="I104" s="6">
        <f>Table1[[#This Row],[Sales]]*Table1[[#This Row],[Quantity]]</f>
        <v>495540</v>
      </c>
    </row>
    <row r="105" spans="1:9" x14ac:dyDescent="0.35">
      <c r="A105" t="s">
        <v>117</v>
      </c>
      <c r="B105" s="1">
        <v>45028</v>
      </c>
      <c r="C105" t="s">
        <v>18</v>
      </c>
      <c r="D105" t="s">
        <v>13</v>
      </c>
      <c r="E105" s="6">
        <v>14524</v>
      </c>
      <c r="F105">
        <v>6</v>
      </c>
      <c r="G105" t="str">
        <f>PROPER(TRIM(Table1[[#This Row],[Product]]))</f>
        <v>Laptop</v>
      </c>
      <c r="H105" t="str">
        <f>PROPER(TRIM(Table1[[#This Row],[Region]]))</f>
        <v>East</v>
      </c>
      <c r="I105" s="6">
        <f>Table1[[#This Row],[Sales]]*Table1[[#This Row],[Quantity]]</f>
        <v>87144</v>
      </c>
    </row>
    <row r="106" spans="1:9" x14ac:dyDescent="0.35">
      <c r="A106" t="s">
        <v>118</v>
      </c>
      <c r="B106" s="1">
        <v>45047</v>
      </c>
      <c r="C106" t="s">
        <v>30</v>
      </c>
      <c r="D106" t="s">
        <v>25</v>
      </c>
      <c r="E106" s="6">
        <v>16258</v>
      </c>
      <c r="F106">
        <v>6</v>
      </c>
      <c r="G106" t="str">
        <f>PROPER(TRIM(Table1[[#This Row],[Product]]))</f>
        <v>Tablet</v>
      </c>
      <c r="H106" t="str">
        <f>PROPER(TRIM(Table1[[#This Row],[Region]]))</f>
        <v>West</v>
      </c>
      <c r="I106" s="6">
        <f>Table1[[#This Row],[Sales]]*Table1[[#This Row],[Quantity]]</f>
        <v>97548</v>
      </c>
    </row>
    <row r="107" spans="1:9" x14ac:dyDescent="0.35">
      <c r="A107" t="s">
        <v>119</v>
      </c>
      <c r="B107" s="1">
        <v>45127</v>
      </c>
      <c r="C107" t="s">
        <v>8</v>
      </c>
      <c r="D107" t="s">
        <v>31</v>
      </c>
      <c r="E107" s="6">
        <v>797</v>
      </c>
      <c r="F107">
        <v>4</v>
      </c>
      <c r="G107" t="str">
        <f>PROPER(TRIM(Table1[[#This Row],[Product]]))</f>
        <v>Monitor</v>
      </c>
      <c r="H107" t="str">
        <f>PROPER(TRIM(Table1[[#This Row],[Region]]))</f>
        <v>North</v>
      </c>
      <c r="I107" s="6">
        <f>Table1[[#This Row],[Sales]]*Table1[[#This Row],[Quantity]]</f>
        <v>3188</v>
      </c>
    </row>
    <row r="108" spans="1:9" x14ac:dyDescent="0.35">
      <c r="A108" t="s">
        <v>120</v>
      </c>
      <c r="B108" s="1">
        <v>44995</v>
      </c>
      <c r="C108" t="s">
        <v>18</v>
      </c>
      <c r="D108" t="s">
        <v>31</v>
      </c>
      <c r="E108" s="6">
        <v>20954</v>
      </c>
      <c r="F108">
        <v>10</v>
      </c>
      <c r="G108" t="str">
        <f>PROPER(TRIM(Table1[[#This Row],[Product]]))</f>
        <v>Monitor</v>
      </c>
      <c r="H108" t="str">
        <f>PROPER(TRIM(Table1[[#This Row],[Region]]))</f>
        <v>East</v>
      </c>
      <c r="I108" s="6">
        <f>Table1[[#This Row],[Sales]]*Table1[[#This Row],[Quantity]]</f>
        <v>209540</v>
      </c>
    </row>
    <row r="109" spans="1:9" x14ac:dyDescent="0.35">
      <c r="A109" t="s">
        <v>121</v>
      </c>
      <c r="B109" s="1">
        <v>45199</v>
      </c>
      <c r="C109" t="s">
        <v>18</v>
      </c>
      <c r="D109" t="s">
        <v>31</v>
      </c>
      <c r="E109" s="6">
        <v>18882</v>
      </c>
      <c r="F109">
        <v>7</v>
      </c>
      <c r="G109" t="str">
        <f>PROPER(TRIM(Table1[[#This Row],[Product]]))</f>
        <v>Monitor</v>
      </c>
      <c r="H109" t="str">
        <f>PROPER(TRIM(Table1[[#This Row],[Region]]))</f>
        <v>East</v>
      </c>
      <c r="I109" s="6">
        <f>Table1[[#This Row],[Sales]]*Table1[[#This Row],[Quantity]]</f>
        <v>132174</v>
      </c>
    </row>
    <row r="110" spans="1:9" x14ac:dyDescent="0.35">
      <c r="A110" t="s">
        <v>122</v>
      </c>
      <c r="B110" s="1">
        <v>45249</v>
      </c>
      <c r="C110" t="s">
        <v>33</v>
      </c>
      <c r="D110" t="s">
        <v>13</v>
      </c>
      <c r="E110" s="6">
        <v>7708</v>
      </c>
      <c r="F110">
        <v>7</v>
      </c>
      <c r="G110" t="str">
        <f>PROPER(TRIM(Table1[[#This Row],[Product]]))</f>
        <v>Laptop</v>
      </c>
      <c r="H110" t="str">
        <f>PROPER(TRIM(Table1[[#This Row],[Region]]))</f>
        <v>South</v>
      </c>
      <c r="I110" s="6">
        <f>Table1[[#This Row],[Sales]]*Table1[[#This Row],[Quantity]]</f>
        <v>53956</v>
      </c>
    </row>
    <row r="111" spans="1:9" x14ac:dyDescent="0.35">
      <c r="A111" t="s">
        <v>123</v>
      </c>
      <c r="B111" s="1">
        <v>45088</v>
      </c>
      <c r="C111" t="s">
        <v>18</v>
      </c>
      <c r="D111" t="s">
        <v>28</v>
      </c>
      <c r="E111" s="6">
        <v>7220</v>
      </c>
      <c r="F111">
        <v>1</v>
      </c>
      <c r="G111" t="str">
        <f>PROPER(TRIM(Table1[[#This Row],[Product]]))</f>
        <v>Phone</v>
      </c>
      <c r="H111" t="str">
        <f>PROPER(TRIM(Table1[[#This Row],[Region]]))</f>
        <v>East</v>
      </c>
      <c r="I111" s="6">
        <f>Table1[[#This Row],[Sales]]*Table1[[#This Row],[Quantity]]</f>
        <v>7220</v>
      </c>
    </row>
    <row r="112" spans="1:9" x14ac:dyDescent="0.35">
      <c r="A112" t="s">
        <v>124</v>
      </c>
      <c r="B112" s="1">
        <v>45114</v>
      </c>
      <c r="C112" t="s">
        <v>33</v>
      </c>
      <c r="D112" t="s">
        <v>25</v>
      </c>
      <c r="E112" s="6">
        <v>20506</v>
      </c>
      <c r="F112">
        <v>6</v>
      </c>
      <c r="G112" t="str">
        <f>PROPER(TRIM(Table1[[#This Row],[Product]]))</f>
        <v>Tablet</v>
      </c>
      <c r="H112" t="str">
        <f>PROPER(TRIM(Table1[[#This Row],[Region]]))</f>
        <v>South</v>
      </c>
      <c r="I112" s="6">
        <f>Table1[[#This Row],[Sales]]*Table1[[#This Row],[Quantity]]</f>
        <v>123036</v>
      </c>
    </row>
    <row r="113" spans="1:9" x14ac:dyDescent="0.35">
      <c r="A113" t="s">
        <v>125</v>
      </c>
      <c r="B113" s="1">
        <v>45033</v>
      </c>
      <c r="C113" t="s">
        <v>30</v>
      </c>
      <c r="D113" t="s">
        <v>31</v>
      </c>
      <c r="E113" s="6">
        <v>9445</v>
      </c>
      <c r="F113">
        <v>4</v>
      </c>
      <c r="G113" t="str">
        <f>PROPER(TRIM(Table1[[#This Row],[Product]]))</f>
        <v>Monitor</v>
      </c>
      <c r="H113" t="str">
        <f>PROPER(TRIM(Table1[[#This Row],[Region]]))</f>
        <v>West</v>
      </c>
      <c r="I113" s="6">
        <f>Table1[[#This Row],[Sales]]*Table1[[#This Row],[Quantity]]</f>
        <v>37780</v>
      </c>
    </row>
    <row r="114" spans="1:9" x14ac:dyDescent="0.35">
      <c r="A114" t="s">
        <v>126</v>
      </c>
      <c r="B114" s="1">
        <v>45113</v>
      </c>
      <c r="C114" t="s">
        <v>33</v>
      </c>
      <c r="D114" t="s">
        <v>40</v>
      </c>
      <c r="E114" s="6">
        <v>34934</v>
      </c>
      <c r="F114">
        <v>5</v>
      </c>
      <c r="G114" t="str">
        <f>PROPER(TRIM(Table1[[#This Row],[Product]]))</f>
        <v>Headphones</v>
      </c>
      <c r="H114" t="str">
        <f>PROPER(TRIM(Table1[[#This Row],[Region]]))</f>
        <v>South</v>
      </c>
      <c r="I114" s="6">
        <f>Table1[[#This Row],[Sales]]*Table1[[#This Row],[Quantity]]</f>
        <v>174670</v>
      </c>
    </row>
    <row r="115" spans="1:9" x14ac:dyDescent="0.35">
      <c r="A115" t="s">
        <v>127</v>
      </c>
      <c r="B115" s="1">
        <v>44955</v>
      </c>
      <c r="C115" t="s">
        <v>30</v>
      </c>
      <c r="D115" t="s">
        <v>13</v>
      </c>
      <c r="E115" s="6">
        <v>151</v>
      </c>
      <c r="F115">
        <v>7</v>
      </c>
      <c r="G115" t="str">
        <f>PROPER(TRIM(Table1[[#This Row],[Product]]))</f>
        <v>Laptop</v>
      </c>
      <c r="H115" t="str">
        <f>PROPER(TRIM(Table1[[#This Row],[Region]]))</f>
        <v>West</v>
      </c>
      <c r="I115" s="6">
        <f>Table1[[#This Row],[Sales]]*Table1[[#This Row],[Quantity]]</f>
        <v>1057</v>
      </c>
    </row>
    <row r="116" spans="1:9" x14ac:dyDescent="0.35">
      <c r="A116" t="s">
        <v>128</v>
      </c>
      <c r="B116" s="1">
        <v>45040</v>
      </c>
      <c r="C116" t="s">
        <v>30</v>
      </c>
      <c r="D116" t="s">
        <v>40</v>
      </c>
      <c r="E116" s="6">
        <v>20503</v>
      </c>
      <c r="F116">
        <v>7</v>
      </c>
      <c r="G116" t="str">
        <f>PROPER(TRIM(Table1[[#This Row],[Product]]))</f>
        <v>Headphones</v>
      </c>
      <c r="H116" t="str">
        <f>PROPER(TRIM(Table1[[#This Row],[Region]]))</f>
        <v>West</v>
      </c>
      <c r="I116" s="6">
        <f>Table1[[#This Row],[Sales]]*Table1[[#This Row],[Quantity]]</f>
        <v>143521</v>
      </c>
    </row>
    <row r="117" spans="1:9" x14ac:dyDescent="0.35">
      <c r="A117" t="s">
        <v>129</v>
      </c>
      <c r="B117" s="1">
        <v>45000</v>
      </c>
      <c r="C117" t="s">
        <v>8</v>
      </c>
      <c r="D117" t="s">
        <v>31</v>
      </c>
      <c r="E117" s="6">
        <v>33236</v>
      </c>
      <c r="F117">
        <v>9</v>
      </c>
      <c r="G117" t="str">
        <f>PROPER(TRIM(Table1[[#This Row],[Product]]))</f>
        <v>Monitor</v>
      </c>
      <c r="H117" t="str">
        <f>PROPER(TRIM(Table1[[#This Row],[Region]]))</f>
        <v>North</v>
      </c>
      <c r="I117" s="6">
        <f>Table1[[#This Row],[Sales]]*Table1[[#This Row],[Quantity]]</f>
        <v>299124</v>
      </c>
    </row>
    <row r="118" spans="1:9" x14ac:dyDescent="0.35">
      <c r="A118" t="s">
        <v>130</v>
      </c>
      <c r="B118" s="1">
        <v>45155</v>
      </c>
      <c r="C118" t="s">
        <v>8</v>
      </c>
      <c r="D118" t="s">
        <v>25</v>
      </c>
      <c r="E118" s="6">
        <v>19564</v>
      </c>
      <c r="F118">
        <v>9</v>
      </c>
      <c r="G118" t="str">
        <f>PROPER(TRIM(Table1[[#This Row],[Product]]))</f>
        <v>Tablet</v>
      </c>
      <c r="H118" t="str">
        <f>PROPER(TRIM(Table1[[#This Row],[Region]]))</f>
        <v>North</v>
      </c>
      <c r="I118" s="6">
        <f>Table1[[#This Row],[Sales]]*Table1[[#This Row],[Quantity]]</f>
        <v>176076</v>
      </c>
    </row>
    <row r="119" spans="1:9" x14ac:dyDescent="0.35">
      <c r="A119" t="s">
        <v>131</v>
      </c>
      <c r="B119" s="1">
        <v>45226</v>
      </c>
      <c r="C119" t="s">
        <v>18</v>
      </c>
      <c r="D119" t="s">
        <v>25</v>
      </c>
      <c r="E119" s="6">
        <v>39431</v>
      </c>
      <c r="F119">
        <v>6</v>
      </c>
      <c r="G119" t="str">
        <f>PROPER(TRIM(Table1[[#This Row],[Product]]))</f>
        <v>Tablet</v>
      </c>
      <c r="H119" t="str">
        <f>PROPER(TRIM(Table1[[#This Row],[Region]]))</f>
        <v>East</v>
      </c>
      <c r="I119" s="6">
        <f>Table1[[#This Row],[Sales]]*Table1[[#This Row],[Quantity]]</f>
        <v>236586</v>
      </c>
    </row>
    <row r="120" spans="1:9" x14ac:dyDescent="0.35">
      <c r="A120" t="s">
        <v>132</v>
      </c>
      <c r="B120" s="1">
        <v>45116</v>
      </c>
      <c r="C120" t="s">
        <v>33</v>
      </c>
      <c r="D120" t="s">
        <v>28</v>
      </c>
      <c r="E120" s="6">
        <v>32170</v>
      </c>
      <c r="F120">
        <v>6</v>
      </c>
      <c r="G120" t="str">
        <f>PROPER(TRIM(Table1[[#This Row],[Product]]))</f>
        <v>Phone</v>
      </c>
      <c r="H120" t="str">
        <f>PROPER(TRIM(Table1[[#This Row],[Region]]))</f>
        <v>South</v>
      </c>
      <c r="I120" s="6">
        <f>Table1[[#This Row],[Sales]]*Table1[[#This Row],[Quantity]]</f>
        <v>193020</v>
      </c>
    </row>
    <row r="121" spans="1:9" x14ac:dyDescent="0.35">
      <c r="A121" t="s">
        <v>133</v>
      </c>
      <c r="B121" s="1">
        <v>45090</v>
      </c>
      <c r="C121" t="s">
        <v>33</v>
      </c>
      <c r="D121" t="s">
        <v>40</v>
      </c>
      <c r="E121" s="6">
        <v>42505</v>
      </c>
      <c r="F121">
        <v>10</v>
      </c>
      <c r="G121" t="str">
        <f>PROPER(TRIM(Table1[[#This Row],[Product]]))</f>
        <v>Headphones</v>
      </c>
      <c r="H121" t="str">
        <f>PROPER(TRIM(Table1[[#This Row],[Region]]))</f>
        <v>South</v>
      </c>
      <c r="I121" s="6">
        <f>Table1[[#This Row],[Sales]]*Table1[[#This Row],[Quantity]]</f>
        <v>425050</v>
      </c>
    </row>
    <row r="122" spans="1:9" x14ac:dyDescent="0.35">
      <c r="A122" t="s">
        <v>134</v>
      </c>
      <c r="B122" s="1">
        <v>44955</v>
      </c>
      <c r="C122" t="s">
        <v>33</v>
      </c>
      <c r="D122" t="s">
        <v>31</v>
      </c>
      <c r="E122" s="6">
        <v>34748</v>
      </c>
      <c r="F122">
        <v>2</v>
      </c>
      <c r="G122" t="str">
        <f>PROPER(TRIM(Table1[[#This Row],[Product]]))</f>
        <v>Monitor</v>
      </c>
      <c r="H122" t="str">
        <f>PROPER(TRIM(Table1[[#This Row],[Region]]))</f>
        <v>South</v>
      </c>
      <c r="I122" s="6">
        <f>Table1[[#This Row],[Sales]]*Table1[[#This Row],[Quantity]]</f>
        <v>69496</v>
      </c>
    </row>
    <row r="123" spans="1:9" x14ac:dyDescent="0.35">
      <c r="A123" t="s">
        <v>135</v>
      </c>
      <c r="B123" s="1">
        <v>45212</v>
      </c>
      <c r="C123" t="s">
        <v>30</v>
      </c>
      <c r="D123" t="s">
        <v>13</v>
      </c>
      <c r="E123" s="6">
        <v>28785</v>
      </c>
      <c r="F123">
        <v>5</v>
      </c>
      <c r="G123" t="str">
        <f>PROPER(TRIM(Table1[[#This Row],[Product]]))</f>
        <v>Laptop</v>
      </c>
      <c r="H123" t="str">
        <f>PROPER(TRIM(Table1[[#This Row],[Region]]))</f>
        <v>West</v>
      </c>
      <c r="I123" s="6">
        <f>Table1[[#This Row],[Sales]]*Table1[[#This Row],[Quantity]]</f>
        <v>143925</v>
      </c>
    </row>
    <row r="124" spans="1:9" x14ac:dyDescent="0.35">
      <c r="A124" t="s">
        <v>136</v>
      </c>
      <c r="B124" s="1">
        <v>44983</v>
      </c>
      <c r="C124" t="s">
        <v>30</v>
      </c>
      <c r="D124" t="s">
        <v>25</v>
      </c>
      <c r="E124" s="6">
        <v>26243</v>
      </c>
      <c r="F124">
        <v>10</v>
      </c>
      <c r="G124" t="str">
        <f>PROPER(TRIM(Table1[[#This Row],[Product]]))</f>
        <v>Tablet</v>
      </c>
      <c r="H124" t="str">
        <f>PROPER(TRIM(Table1[[#This Row],[Region]]))</f>
        <v>West</v>
      </c>
      <c r="I124" s="6">
        <f>Table1[[#This Row],[Sales]]*Table1[[#This Row],[Quantity]]</f>
        <v>262430</v>
      </c>
    </row>
    <row r="125" spans="1:9" x14ac:dyDescent="0.35">
      <c r="A125" t="s">
        <v>137</v>
      </c>
      <c r="B125" s="1">
        <v>45029</v>
      </c>
      <c r="C125" t="s">
        <v>33</v>
      </c>
      <c r="D125" t="s">
        <v>25</v>
      </c>
      <c r="E125" s="6">
        <v>38708</v>
      </c>
      <c r="F125">
        <v>3</v>
      </c>
      <c r="G125" t="str">
        <f>PROPER(TRIM(Table1[[#This Row],[Product]]))</f>
        <v>Tablet</v>
      </c>
      <c r="H125" t="str">
        <f>PROPER(TRIM(Table1[[#This Row],[Region]]))</f>
        <v>South</v>
      </c>
      <c r="I125" s="6">
        <f>Table1[[#This Row],[Sales]]*Table1[[#This Row],[Quantity]]</f>
        <v>116124</v>
      </c>
    </row>
    <row r="126" spans="1:9" x14ac:dyDescent="0.35">
      <c r="A126" t="s">
        <v>138</v>
      </c>
      <c r="B126" s="1">
        <v>45152</v>
      </c>
      <c r="C126" t="s">
        <v>30</v>
      </c>
      <c r="D126" t="s">
        <v>25</v>
      </c>
      <c r="E126" s="6">
        <v>43814</v>
      </c>
      <c r="F126">
        <v>7</v>
      </c>
      <c r="G126" t="str">
        <f>PROPER(TRIM(Table1[[#This Row],[Product]]))</f>
        <v>Tablet</v>
      </c>
      <c r="H126" t="str">
        <f>PROPER(TRIM(Table1[[#This Row],[Region]]))</f>
        <v>West</v>
      </c>
      <c r="I126" s="6">
        <f>Table1[[#This Row],[Sales]]*Table1[[#This Row],[Quantity]]</f>
        <v>306698</v>
      </c>
    </row>
    <row r="127" spans="1:9" x14ac:dyDescent="0.35">
      <c r="A127" t="s">
        <v>139</v>
      </c>
      <c r="B127" s="1">
        <v>44943</v>
      </c>
      <c r="C127" t="s">
        <v>8</v>
      </c>
      <c r="D127" t="s">
        <v>28</v>
      </c>
      <c r="E127" s="6">
        <v>6138</v>
      </c>
      <c r="F127">
        <v>6</v>
      </c>
      <c r="G127" t="str">
        <f>PROPER(TRIM(Table1[[#This Row],[Product]]))</f>
        <v>Phone</v>
      </c>
      <c r="H127" t="str">
        <f>PROPER(TRIM(Table1[[#This Row],[Region]]))</f>
        <v>North</v>
      </c>
      <c r="I127" s="6">
        <f>Table1[[#This Row],[Sales]]*Table1[[#This Row],[Quantity]]</f>
        <v>36828</v>
      </c>
    </row>
    <row r="128" spans="1:9" x14ac:dyDescent="0.35">
      <c r="A128" t="s">
        <v>140</v>
      </c>
      <c r="B128" s="1">
        <v>45248</v>
      </c>
      <c r="C128" t="s">
        <v>18</v>
      </c>
      <c r="D128" t="s">
        <v>13</v>
      </c>
      <c r="E128" s="6">
        <v>31480</v>
      </c>
      <c r="F128">
        <v>2</v>
      </c>
      <c r="G128" t="str">
        <f>PROPER(TRIM(Table1[[#This Row],[Product]]))</f>
        <v>Laptop</v>
      </c>
      <c r="H128" t="str">
        <f>PROPER(TRIM(Table1[[#This Row],[Region]]))</f>
        <v>East</v>
      </c>
      <c r="I128" s="6">
        <f>Table1[[#This Row],[Sales]]*Table1[[#This Row],[Quantity]]</f>
        <v>62960</v>
      </c>
    </row>
    <row r="129" spans="1:9" x14ac:dyDescent="0.35">
      <c r="A129" t="s">
        <v>141</v>
      </c>
      <c r="B129" s="1">
        <v>45074</v>
      </c>
      <c r="C129" t="s">
        <v>18</v>
      </c>
      <c r="D129" t="s">
        <v>28</v>
      </c>
      <c r="E129" s="6">
        <v>4793</v>
      </c>
      <c r="F129">
        <v>3</v>
      </c>
      <c r="G129" t="str">
        <f>PROPER(TRIM(Table1[[#This Row],[Product]]))</f>
        <v>Phone</v>
      </c>
      <c r="H129" t="str">
        <f>PROPER(TRIM(Table1[[#This Row],[Region]]))</f>
        <v>East</v>
      </c>
      <c r="I129" s="6">
        <f>Table1[[#This Row],[Sales]]*Table1[[#This Row],[Quantity]]</f>
        <v>14379</v>
      </c>
    </row>
    <row r="130" spans="1:9" x14ac:dyDescent="0.35">
      <c r="A130" t="s">
        <v>142</v>
      </c>
      <c r="B130" s="1">
        <v>45284</v>
      </c>
      <c r="C130" t="s">
        <v>30</v>
      </c>
      <c r="D130" t="s">
        <v>31</v>
      </c>
      <c r="E130" s="6">
        <v>426</v>
      </c>
      <c r="F130">
        <v>1</v>
      </c>
      <c r="G130" t="str">
        <f>PROPER(TRIM(Table1[[#This Row],[Product]]))</f>
        <v>Monitor</v>
      </c>
      <c r="H130" t="str">
        <f>PROPER(TRIM(Table1[[#This Row],[Region]]))</f>
        <v>West</v>
      </c>
      <c r="I130" s="6">
        <f>Table1[[#This Row],[Sales]]*Table1[[#This Row],[Quantity]]</f>
        <v>426</v>
      </c>
    </row>
    <row r="131" spans="1:9" x14ac:dyDescent="0.35">
      <c r="A131" t="s">
        <v>143</v>
      </c>
      <c r="B131" s="1">
        <v>45276</v>
      </c>
      <c r="C131" t="s">
        <v>33</v>
      </c>
      <c r="D131" t="s">
        <v>13</v>
      </c>
      <c r="E131" s="6">
        <v>40785</v>
      </c>
      <c r="F131">
        <v>6</v>
      </c>
      <c r="G131" t="str">
        <f>PROPER(TRIM(Table1[[#This Row],[Product]]))</f>
        <v>Laptop</v>
      </c>
      <c r="H131" t="str">
        <f>PROPER(TRIM(Table1[[#This Row],[Region]]))</f>
        <v>South</v>
      </c>
      <c r="I131" s="6">
        <f>Table1[[#This Row],[Sales]]*Table1[[#This Row],[Quantity]]</f>
        <v>244710</v>
      </c>
    </row>
    <row r="132" spans="1:9" x14ac:dyDescent="0.35">
      <c r="A132" t="s">
        <v>144</v>
      </c>
      <c r="B132" s="1">
        <v>45035</v>
      </c>
      <c r="C132" t="s">
        <v>30</v>
      </c>
      <c r="D132" t="s">
        <v>28</v>
      </c>
      <c r="E132" s="6">
        <v>20459</v>
      </c>
      <c r="F132">
        <v>6</v>
      </c>
      <c r="G132" t="str">
        <f>PROPER(TRIM(Table1[[#This Row],[Product]]))</f>
        <v>Phone</v>
      </c>
      <c r="H132" t="str">
        <f>PROPER(TRIM(Table1[[#This Row],[Region]]))</f>
        <v>West</v>
      </c>
      <c r="I132" s="6">
        <f>Table1[[#This Row],[Sales]]*Table1[[#This Row],[Quantity]]</f>
        <v>122754</v>
      </c>
    </row>
    <row r="133" spans="1:9" x14ac:dyDescent="0.35">
      <c r="A133" t="s">
        <v>145</v>
      </c>
      <c r="B133" s="1">
        <v>45007</v>
      </c>
      <c r="C133" t="s">
        <v>8</v>
      </c>
      <c r="D133" t="s">
        <v>25</v>
      </c>
      <c r="E133" s="6">
        <v>22254</v>
      </c>
      <c r="F133">
        <v>4</v>
      </c>
      <c r="G133" t="str">
        <f>PROPER(TRIM(Table1[[#This Row],[Product]]))</f>
        <v>Tablet</v>
      </c>
      <c r="H133" t="str">
        <f>PROPER(TRIM(Table1[[#This Row],[Region]]))</f>
        <v>North</v>
      </c>
      <c r="I133" s="6">
        <f>Table1[[#This Row],[Sales]]*Table1[[#This Row],[Quantity]]</f>
        <v>89016</v>
      </c>
    </row>
    <row r="134" spans="1:9" x14ac:dyDescent="0.35">
      <c r="A134" t="s">
        <v>146</v>
      </c>
      <c r="B134" s="1">
        <v>44939</v>
      </c>
      <c r="C134" t="s">
        <v>18</v>
      </c>
      <c r="D134" t="s">
        <v>28</v>
      </c>
      <c r="E134" s="6">
        <v>21612</v>
      </c>
      <c r="F134">
        <v>10</v>
      </c>
      <c r="G134" t="str">
        <f>PROPER(TRIM(Table1[[#This Row],[Product]]))</f>
        <v>Phone</v>
      </c>
      <c r="H134" t="str">
        <f>PROPER(TRIM(Table1[[#This Row],[Region]]))</f>
        <v>East</v>
      </c>
      <c r="I134" s="6">
        <f>Table1[[#This Row],[Sales]]*Table1[[#This Row],[Quantity]]</f>
        <v>216120</v>
      </c>
    </row>
    <row r="135" spans="1:9" x14ac:dyDescent="0.35">
      <c r="A135" t="s">
        <v>147</v>
      </c>
      <c r="B135" s="1">
        <v>45034</v>
      </c>
      <c r="C135" t="s">
        <v>30</v>
      </c>
      <c r="D135" t="s">
        <v>13</v>
      </c>
      <c r="E135" s="6">
        <v>29184</v>
      </c>
      <c r="F135">
        <v>2</v>
      </c>
      <c r="G135" t="str">
        <f>PROPER(TRIM(Table1[[#This Row],[Product]]))</f>
        <v>Laptop</v>
      </c>
      <c r="H135" t="str">
        <f>PROPER(TRIM(Table1[[#This Row],[Region]]))</f>
        <v>West</v>
      </c>
      <c r="I135" s="6">
        <f>Table1[[#This Row],[Sales]]*Table1[[#This Row],[Quantity]]</f>
        <v>58368</v>
      </c>
    </row>
    <row r="136" spans="1:9" x14ac:dyDescent="0.35">
      <c r="A136" t="s">
        <v>148</v>
      </c>
      <c r="B136" s="1">
        <v>45224</v>
      </c>
      <c r="C136" t="s">
        <v>30</v>
      </c>
      <c r="D136" t="s">
        <v>28</v>
      </c>
      <c r="E136" s="6">
        <v>35865</v>
      </c>
      <c r="F136">
        <v>6</v>
      </c>
      <c r="G136" t="str">
        <f>PROPER(TRIM(Table1[[#This Row],[Product]]))</f>
        <v>Phone</v>
      </c>
      <c r="H136" t="str">
        <f>PROPER(TRIM(Table1[[#This Row],[Region]]))</f>
        <v>West</v>
      </c>
      <c r="I136" s="6">
        <f>Table1[[#This Row],[Sales]]*Table1[[#This Row],[Quantity]]</f>
        <v>215190</v>
      </c>
    </row>
    <row r="137" spans="1:9" x14ac:dyDescent="0.35">
      <c r="A137" t="s">
        <v>149</v>
      </c>
      <c r="B137" s="1">
        <v>45078</v>
      </c>
      <c r="C137" t="s">
        <v>30</v>
      </c>
      <c r="D137" t="s">
        <v>40</v>
      </c>
      <c r="E137" s="6">
        <v>3002</v>
      </c>
      <c r="F137">
        <v>1</v>
      </c>
      <c r="G137" t="str">
        <f>PROPER(TRIM(Table1[[#This Row],[Product]]))</f>
        <v>Headphones</v>
      </c>
      <c r="H137" t="str">
        <f>PROPER(TRIM(Table1[[#This Row],[Region]]))</f>
        <v>West</v>
      </c>
      <c r="I137" s="6">
        <f>Table1[[#This Row],[Sales]]*Table1[[#This Row],[Quantity]]</f>
        <v>3002</v>
      </c>
    </row>
    <row r="138" spans="1:9" x14ac:dyDescent="0.35">
      <c r="A138" t="s">
        <v>149</v>
      </c>
      <c r="B138" s="1">
        <v>45078</v>
      </c>
      <c r="C138" t="s">
        <v>30</v>
      </c>
      <c r="D138" t="s">
        <v>40</v>
      </c>
      <c r="E138" s="6">
        <v>3002</v>
      </c>
      <c r="F138">
        <v>1</v>
      </c>
      <c r="G138" t="str">
        <f>PROPER(TRIM(Table1[[#This Row],[Product]]))</f>
        <v>Headphones</v>
      </c>
      <c r="H138" t="str">
        <f>PROPER(TRIM(Table1[[#This Row],[Region]]))</f>
        <v>West</v>
      </c>
      <c r="I138" s="6">
        <f>Table1[[#This Row],[Sales]]*Table1[[#This Row],[Quantity]]</f>
        <v>3002</v>
      </c>
    </row>
    <row r="139" spans="1:9" x14ac:dyDescent="0.35">
      <c r="A139" t="s">
        <v>150</v>
      </c>
      <c r="B139" s="1">
        <v>45178</v>
      </c>
      <c r="C139" t="s">
        <v>33</v>
      </c>
      <c r="D139" t="s">
        <v>31</v>
      </c>
      <c r="E139" s="6">
        <v>14690</v>
      </c>
      <c r="F139">
        <v>2</v>
      </c>
      <c r="G139" t="str">
        <f>PROPER(TRIM(Table1[[#This Row],[Product]]))</f>
        <v>Monitor</v>
      </c>
      <c r="H139" t="str">
        <f>PROPER(TRIM(Table1[[#This Row],[Region]]))</f>
        <v>South</v>
      </c>
      <c r="I139" s="6">
        <f>Table1[[#This Row],[Sales]]*Table1[[#This Row],[Quantity]]</f>
        <v>29380</v>
      </c>
    </row>
    <row r="140" spans="1:9" x14ac:dyDescent="0.35">
      <c r="A140" t="s">
        <v>151</v>
      </c>
      <c r="B140" s="1">
        <v>45025</v>
      </c>
      <c r="C140" t="s">
        <v>33</v>
      </c>
      <c r="D140" t="s">
        <v>31</v>
      </c>
      <c r="E140" s="6">
        <v>10562</v>
      </c>
      <c r="F140">
        <v>5</v>
      </c>
      <c r="G140" t="str">
        <f>PROPER(TRIM(Table1[[#This Row],[Product]]))</f>
        <v>Monitor</v>
      </c>
      <c r="H140" t="str">
        <f>PROPER(TRIM(Table1[[#This Row],[Region]]))</f>
        <v>South</v>
      </c>
      <c r="I140" s="6">
        <f>Table1[[#This Row],[Sales]]*Table1[[#This Row],[Quantity]]</f>
        <v>52810</v>
      </c>
    </row>
    <row r="141" spans="1:9" x14ac:dyDescent="0.35">
      <c r="A141" t="s">
        <v>152</v>
      </c>
      <c r="B141" s="1">
        <v>45238</v>
      </c>
      <c r="C141" t="s">
        <v>8</v>
      </c>
      <c r="D141" t="s">
        <v>25</v>
      </c>
      <c r="E141" s="6">
        <v>25501</v>
      </c>
      <c r="F141">
        <v>8</v>
      </c>
      <c r="G141" t="str">
        <f>PROPER(TRIM(Table1[[#This Row],[Product]]))</f>
        <v>Tablet</v>
      </c>
      <c r="H141" t="str">
        <f>PROPER(TRIM(Table1[[#This Row],[Region]]))</f>
        <v>North</v>
      </c>
      <c r="I141" s="6">
        <f>Table1[[#This Row],[Sales]]*Table1[[#This Row],[Quantity]]</f>
        <v>204008</v>
      </c>
    </row>
    <row r="142" spans="1:9" x14ac:dyDescent="0.35">
      <c r="A142" t="s">
        <v>153</v>
      </c>
      <c r="B142" s="1">
        <v>45032</v>
      </c>
      <c r="C142" t="s">
        <v>18</v>
      </c>
      <c r="D142" t="s">
        <v>40</v>
      </c>
      <c r="E142" s="6">
        <v>18436</v>
      </c>
      <c r="F142">
        <v>10</v>
      </c>
      <c r="G142" t="str">
        <f>PROPER(TRIM(Table1[[#This Row],[Product]]))</f>
        <v>Headphones</v>
      </c>
      <c r="H142" t="str">
        <f>PROPER(TRIM(Table1[[#This Row],[Region]]))</f>
        <v>East</v>
      </c>
      <c r="I142" s="6">
        <f>Table1[[#This Row],[Sales]]*Table1[[#This Row],[Quantity]]</f>
        <v>184360</v>
      </c>
    </row>
    <row r="143" spans="1:9" x14ac:dyDescent="0.35">
      <c r="A143" t="s">
        <v>154</v>
      </c>
      <c r="B143" s="1">
        <v>45049</v>
      </c>
      <c r="C143" t="s">
        <v>30</v>
      </c>
      <c r="D143" t="s">
        <v>40</v>
      </c>
      <c r="E143" s="6">
        <v>33308</v>
      </c>
      <c r="F143">
        <v>9</v>
      </c>
      <c r="G143" t="str">
        <f>PROPER(TRIM(Table1[[#This Row],[Product]]))</f>
        <v>Headphones</v>
      </c>
      <c r="H143" t="str">
        <f>PROPER(TRIM(Table1[[#This Row],[Region]]))</f>
        <v>West</v>
      </c>
      <c r="I143" s="6">
        <f>Table1[[#This Row],[Sales]]*Table1[[#This Row],[Quantity]]</f>
        <v>299772</v>
      </c>
    </row>
    <row r="144" spans="1:9" x14ac:dyDescent="0.35">
      <c r="A144" t="s">
        <v>155</v>
      </c>
      <c r="B144" s="1">
        <v>45147</v>
      </c>
      <c r="C144" t="s">
        <v>18</v>
      </c>
      <c r="D144" t="s">
        <v>40</v>
      </c>
      <c r="E144" s="6">
        <v>22618</v>
      </c>
      <c r="F144">
        <v>7</v>
      </c>
      <c r="G144" t="str">
        <f>PROPER(TRIM(Table1[[#This Row],[Product]]))</f>
        <v>Headphones</v>
      </c>
      <c r="H144" t="str">
        <f>PROPER(TRIM(Table1[[#This Row],[Region]]))</f>
        <v>East</v>
      </c>
      <c r="I144" s="6">
        <f>Table1[[#This Row],[Sales]]*Table1[[#This Row],[Quantity]]</f>
        <v>158326</v>
      </c>
    </row>
    <row r="145" spans="1:9" x14ac:dyDescent="0.35">
      <c r="A145" t="s">
        <v>156</v>
      </c>
      <c r="B145" s="1">
        <v>44980</v>
      </c>
      <c r="C145" t="s">
        <v>30</v>
      </c>
      <c r="D145" t="s">
        <v>40</v>
      </c>
      <c r="E145" s="6">
        <v>34611</v>
      </c>
      <c r="F145">
        <v>4</v>
      </c>
      <c r="G145" t="str">
        <f>PROPER(TRIM(Table1[[#This Row],[Product]]))</f>
        <v>Headphones</v>
      </c>
      <c r="H145" t="str">
        <f>PROPER(TRIM(Table1[[#This Row],[Region]]))</f>
        <v>West</v>
      </c>
      <c r="I145" s="6">
        <f>Table1[[#This Row],[Sales]]*Table1[[#This Row],[Quantity]]</f>
        <v>138444</v>
      </c>
    </row>
    <row r="146" spans="1:9" x14ac:dyDescent="0.35">
      <c r="A146" t="s">
        <v>157</v>
      </c>
      <c r="B146" s="1">
        <v>44956</v>
      </c>
      <c r="C146" t="s">
        <v>33</v>
      </c>
      <c r="D146" t="s">
        <v>28</v>
      </c>
      <c r="E146" s="6">
        <v>37340</v>
      </c>
      <c r="F146">
        <v>2</v>
      </c>
      <c r="G146" t="str">
        <f>PROPER(TRIM(Table1[[#This Row],[Product]]))</f>
        <v>Phone</v>
      </c>
      <c r="H146" t="str">
        <f>PROPER(TRIM(Table1[[#This Row],[Region]]))</f>
        <v>South</v>
      </c>
      <c r="I146" s="6">
        <f>Table1[[#This Row],[Sales]]*Table1[[#This Row],[Quantity]]</f>
        <v>74680</v>
      </c>
    </row>
    <row r="147" spans="1:9" x14ac:dyDescent="0.35">
      <c r="A147" t="s">
        <v>158</v>
      </c>
      <c r="B147" s="1">
        <v>44997</v>
      </c>
      <c r="C147" t="s">
        <v>8</v>
      </c>
      <c r="D147" t="s">
        <v>13</v>
      </c>
      <c r="E147" s="6">
        <v>20960</v>
      </c>
      <c r="F147">
        <v>9</v>
      </c>
      <c r="G147" t="str">
        <f>PROPER(TRIM(Table1[[#This Row],[Product]]))</f>
        <v>Laptop</v>
      </c>
      <c r="H147" t="str">
        <f>PROPER(TRIM(Table1[[#This Row],[Region]]))</f>
        <v>North</v>
      </c>
      <c r="I147" s="6">
        <f>Table1[[#This Row],[Sales]]*Table1[[#This Row],[Quantity]]</f>
        <v>188640</v>
      </c>
    </row>
    <row r="148" spans="1:9" x14ac:dyDescent="0.35">
      <c r="A148" t="s">
        <v>159</v>
      </c>
      <c r="B148" s="1">
        <v>45143</v>
      </c>
      <c r="C148" t="s">
        <v>33</v>
      </c>
      <c r="D148" t="s">
        <v>40</v>
      </c>
      <c r="E148" s="6">
        <v>23514</v>
      </c>
      <c r="F148">
        <v>1</v>
      </c>
      <c r="G148" t="str">
        <f>PROPER(TRIM(Table1[[#This Row],[Product]]))</f>
        <v>Headphones</v>
      </c>
      <c r="H148" t="str">
        <f>PROPER(TRIM(Table1[[#This Row],[Region]]))</f>
        <v>South</v>
      </c>
      <c r="I148" s="6">
        <f>Table1[[#This Row],[Sales]]*Table1[[#This Row],[Quantity]]</f>
        <v>23514</v>
      </c>
    </row>
    <row r="149" spans="1:9" x14ac:dyDescent="0.35">
      <c r="A149" t="s">
        <v>160</v>
      </c>
      <c r="B149" s="1">
        <v>45200</v>
      </c>
      <c r="C149" t="s">
        <v>18</v>
      </c>
      <c r="D149" t="s">
        <v>40</v>
      </c>
      <c r="E149" s="6">
        <v>33709</v>
      </c>
      <c r="F149">
        <v>2</v>
      </c>
      <c r="G149" t="str">
        <f>PROPER(TRIM(Table1[[#This Row],[Product]]))</f>
        <v>Headphones</v>
      </c>
      <c r="H149" t="str">
        <f>PROPER(TRIM(Table1[[#This Row],[Region]]))</f>
        <v>East</v>
      </c>
      <c r="I149" s="6">
        <f>Table1[[#This Row],[Sales]]*Table1[[#This Row],[Quantity]]</f>
        <v>67418</v>
      </c>
    </row>
    <row r="150" spans="1:9" x14ac:dyDescent="0.35">
      <c r="A150" t="s">
        <v>161</v>
      </c>
      <c r="B150" s="1">
        <v>45126</v>
      </c>
      <c r="C150" t="s">
        <v>18</v>
      </c>
      <c r="D150" t="s">
        <v>13</v>
      </c>
      <c r="E150" s="6">
        <v>10982</v>
      </c>
      <c r="F150">
        <v>9</v>
      </c>
      <c r="G150" t="str">
        <f>PROPER(TRIM(Table1[[#This Row],[Product]]))</f>
        <v>Laptop</v>
      </c>
      <c r="H150" t="str">
        <f>PROPER(TRIM(Table1[[#This Row],[Region]]))</f>
        <v>East</v>
      </c>
      <c r="I150" s="6">
        <f>Table1[[#This Row],[Sales]]*Table1[[#This Row],[Quantity]]</f>
        <v>98838</v>
      </c>
    </row>
    <row r="151" spans="1:9" x14ac:dyDescent="0.35">
      <c r="A151" t="s">
        <v>162</v>
      </c>
      <c r="B151" s="1">
        <v>45075</v>
      </c>
      <c r="C151" t="s">
        <v>33</v>
      </c>
      <c r="D151" t="s">
        <v>31</v>
      </c>
      <c r="E151" s="6">
        <v>5146</v>
      </c>
      <c r="F151">
        <v>9</v>
      </c>
      <c r="G151" t="str">
        <f>PROPER(TRIM(Table1[[#This Row],[Product]]))</f>
        <v>Monitor</v>
      </c>
      <c r="H151" t="str">
        <f>PROPER(TRIM(Table1[[#This Row],[Region]]))</f>
        <v>South</v>
      </c>
      <c r="I151" s="6">
        <f>Table1[[#This Row],[Sales]]*Table1[[#This Row],[Quantity]]</f>
        <v>46314</v>
      </c>
    </row>
    <row r="152" spans="1:9" x14ac:dyDescent="0.35">
      <c r="A152" t="s">
        <v>163</v>
      </c>
      <c r="B152" s="1">
        <v>45062</v>
      </c>
      <c r="C152" t="s">
        <v>33</v>
      </c>
      <c r="D152" t="s">
        <v>28</v>
      </c>
      <c r="E152" s="6">
        <v>32901</v>
      </c>
      <c r="F152">
        <v>7</v>
      </c>
      <c r="G152" t="str">
        <f>PROPER(TRIM(Table1[[#This Row],[Product]]))</f>
        <v>Phone</v>
      </c>
      <c r="H152" t="str">
        <f>PROPER(TRIM(Table1[[#This Row],[Region]]))</f>
        <v>South</v>
      </c>
      <c r="I152" s="6">
        <f>Table1[[#This Row],[Sales]]*Table1[[#This Row],[Quantity]]</f>
        <v>230307</v>
      </c>
    </row>
    <row r="153" spans="1:9" x14ac:dyDescent="0.35">
      <c r="A153" t="s">
        <v>164</v>
      </c>
      <c r="B153" s="1">
        <v>45103</v>
      </c>
      <c r="C153" t="s">
        <v>33</v>
      </c>
      <c r="D153" t="s">
        <v>13</v>
      </c>
      <c r="E153" s="6">
        <v>34360</v>
      </c>
      <c r="F153">
        <v>2</v>
      </c>
      <c r="G153" t="str">
        <f>PROPER(TRIM(Table1[[#This Row],[Product]]))</f>
        <v>Laptop</v>
      </c>
      <c r="H153" t="str">
        <f>PROPER(TRIM(Table1[[#This Row],[Region]]))</f>
        <v>South</v>
      </c>
      <c r="I153" s="6">
        <f>Table1[[#This Row],[Sales]]*Table1[[#This Row],[Quantity]]</f>
        <v>68720</v>
      </c>
    </row>
    <row r="154" spans="1:9" x14ac:dyDescent="0.35">
      <c r="A154" t="s">
        <v>165</v>
      </c>
      <c r="B154" s="1">
        <v>45098</v>
      </c>
      <c r="C154" t="s">
        <v>8</v>
      </c>
      <c r="D154" t="s">
        <v>40</v>
      </c>
      <c r="E154" s="6">
        <v>31438</v>
      </c>
      <c r="F154">
        <v>1</v>
      </c>
      <c r="G154" t="str">
        <f>PROPER(TRIM(Table1[[#This Row],[Product]]))</f>
        <v>Headphones</v>
      </c>
      <c r="H154" t="str">
        <f>PROPER(TRIM(Table1[[#This Row],[Region]]))</f>
        <v>North</v>
      </c>
      <c r="I154" s="6">
        <f>Table1[[#This Row],[Sales]]*Table1[[#This Row],[Quantity]]</f>
        <v>31438</v>
      </c>
    </row>
    <row r="155" spans="1:9" x14ac:dyDescent="0.35">
      <c r="A155" t="s">
        <v>166</v>
      </c>
      <c r="B155" s="1">
        <v>45014</v>
      </c>
      <c r="C155" t="s">
        <v>18</v>
      </c>
      <c r="D155" t="s">
        <v>31</v>
      </c>
      <c r="E155" s="6">
        <v>19211</v>
      </c>
      <c r="F155">
        <v>6</v>
      </c>
      <c r="G155" t="str">
        <f>PROPER(TRIM(Table1[[#This Row],[Product]]))</f>
        <v>Monitor</v>
      </c>
      <c r="H155" t="str">
        <f>PROPER(TRIM(Table1[[#This Row],[Region]]))</f>
        <v>East</v>
      </c>
      <c r="I155" s="6">
        <f>Table1[[#This Row],[Sales]]*Table1[[#This Row],[Quantity]]</f>
        <v>115266</v>
      </c>
    </row>
    <row r="156" spans="1:9" x14ac:dyDescent="0.35">
      <c r="A156" t="s">
        <v>167</v>
      </c>
      <c r="B156" s="1">
        <v>45078</v>
      </c>
      <c r="C156" t="s">
        <v>30</v>
      </c>
      <c r="D156" t="s">
        <v>40</v>
      </c>
      <c r="E156" s="6">
        <v>30706</v>
      </c>
      <c r="F156">
        <v>5</v>
      </c>
      <c r="G156" t="str">
        <f>PROPER(TRIM(Table1[[#This Row],[Product]]))</f>
        <v>Headphones</v>
      </c>
      <c r="H156" t="str">
        <f>PROPER(TRIM(Table1[[#This Row],[Region]]))</f>
        <v>West</v>
      </c>
      <c r="I156" s="6">
        <f>Table1[[#This Row],[Sales]]*Table1[[#This Row],[Quantity]]</f>
        <v>153530</v>
      </c>
    </row>
    <row r="157" spans="1:9" x14ac:dyDescent="0.35">
      <c r="A157" t="s">
        <v>168</v>
      </c>
      <c r="B157" s="1">
        <v>45199</v>
      </c>
      <c r="C157" t="s">
        <v>33</v>
      </c>
      <c r="D157" t="s">
        <v>25</v>
      </c>
      <c r="E157" s="6">
        <v>2514</v>
      </c>
      <c r="F157">
        <v>4</v>
      </c>
      <c r="G157" t="str">
        <f>PROPER(TRIM(Table1[[#This Row],[Product]]))</f>
        <v>Tablet</v>
      </c>
      <c r="H157" t="str">
        <f>PROPER(TRIM(Table1[[#This Row],[Region]]))</f>
        <v>South</v>
      </c>
      <c r="I157" s="6">
        <f>Table1[[#This Row],[Sales]]*Table1[[#This Row],[Quantity]]</f>
        <v>10056</v>
      </c>
    </row>
    <row r="158" spans="1:9" x14ac:dyDescent="0.35">
      <c r="A158" t="s">
        <v>169</v>
      </c>
      <c r="B158" s="1">
        <v>44934</v>
      </c>
      <c r="C158" t="s">
        <v>30</v>
      </c>
      <c r="D158" t="s">
        <v>13</v>
      </c>
      <c r="E158" s="6">
        <v>35028</v>
      </c>
      <c r="F158">
        <v>1</v>
      </c>
      <c r="G158" t="str">
        <f>PROPER(TRIM(Table1[[#This Row],[Product]]))</f>
        <v>Laptop</v>
      </c>
      <c r="H158" t="str">
        <f>PROPER(TRIM(Table1[[#This Row],[Region]]))</f>
        <v>West</v>
      </c>
      <c r="I158" s="6">
        <f>Table1[[#This Row],[Sales]]*Table1[[#This Row],[Quantity]]</f>
        <v>35028</v>
      </c>
    </row>
    <row r="159" spans="1:9" x14ac:dyDescent="0.35">
      <c r="A159" t="s">
        <v>170</v>
      </c>
      <c r="B159" s="1">
        <v>45273</v>
      </c>
      <c r="C159" t="s">
        <v>8</v>
      </c>
      <c r="D159" t="s">
        <v>13</v>
      </c>
      <c r="E159" s="6">
        <v>23455</v>
      </c>
      <c r="F159">
        <v>2</v>
      </c>
      <c r="G159" t="str">
        <f>PROPER(TRIM(Table1[[#This Row],[Product]]))</f>
        <v>Laptop</v>
      </c>
      <c r="H159" t="str">
        <f>PROPER(TRIM(Table1[[#This Row],[Region]]))</f>
        <v>North</v>
      </c>
      <c r="I159" s="6">
        <f>Table1[[#This Row],[Sales]]*Table1[[#This Row],[Quantity]]</f>
        <v>46910</v>
      </c>
    </row>
    <row r="160" spans="1:9" x14ac:dyDescent="0.35">
      <c r="A160" t="s">
        <v>171</v>
      </c>
      <c r="B160" s="1">
        <v>44941</v>
      </c>
      <c r="C160" t="s">
        <v>8</v>
      </c>
      <c r="D160" t="s">
        <v>13</v>
      </c>
      <c r="E160" s="6">
        <v>47394</v>
      </c>
      <c r="F160">
        <v>4</v>
      </c>
      <c r="G160" t="str">
        <f>PROPER(TRIM(Table1[[#This Row],[Product]]))</f>
        <v>Laptop</v>
      </c>
      <c r="H160" t="str">
        <f>PROPER(TRIM(Table1[[#This Row],[Region]]))</f>
        <v>North</v>
      </c>
      <c r="I160" s="6">
        <f>Table1[[#This Row],[Sales]]*Table1[[#This Row],[Quantity]]</f>
        <v>189576</v>
      </c>
    </row>
    <row r="161" spans="1:9" x14ac:dyDescent="0.35">
      <c r="A161" t="s">
        <v>172</v>
      </c>
      <c r="B161" s="1">
        <v>45154</v>
      </c>
      <c r="C161" t="s">
        <v>18</v>
      </c>
      <c r="D161" t="s">
        <v>13</v>
      </c>
      <c r="E161" s="6">
        <v>43748</v>
      </c>
      <c r="F161">
        <v>1</v>
      </c>
      <c r="G161" t="str">
        <f>PROPER(TRIM(Table1[[#This Row],[Product]]))</f>
        <v>Laptop</v>
      </c>
      <c r="H161" t="str">
        <f>PROPER(TRIM(Table1[[#This Row],[Region]]))</f>
        <v>East</v>
      </c>
      <c r="I161" s="6">
        <f>Table1[[#This Row],[Sales]]*Table1[[#This Row],[Quantity]]</f>
        <v>43748</v>
      </c>
    </row>
    <row r="162" spans="1:9" x14ac:dyDescent="0.35">
      <c r="A162" t="s">
        <v>173</v>
      </c>
      <c r="B162" s="1">
        <v>45227</v>
      </c>
      <c r="C162" t="s">
        <v>18</v>
      </c>
      <c r="D162" t="s">
        <v>31</v>
      </c>
      <c r="E162" s="6">
        <v>23510</v>
      </c>
      <c r="F162">
        <v>10</v>
      </c>
      <c r="G162" t="str">
        <f>PROPER(TRIM(Table1[[#This Row],[Product]]))</f>
        <v>Monitor</v>
      </c>
      <c r="H162" t="str">
        <f>PROPER(TRIM(Table1[[#This Row],[Region]]))</f>
        <v>East</v>
      </c>
      <c r="I162" s="6">
        <f>Table1[[#This Row],[Sales]]*Table1[[#This Row],[Quantity]]</f>
        <v>235100</v>
      </c>
    </row>
    <row r="163" spans="1:9" x14ac:dyDescent="0.35">
      <c r="A163" t="s">
        <v>174</v>
      </c>
      <c r="B163" s="1">
        <v>45052</v>
      </c>
      <c r="C163" t="s">
        <v>8</v>
      </c>
      <c r="D163" t="s">
        <v>28</v>
      </c>
      <c r="E163" s="6">
        <v>36243</v>
      </c>
      <c r="F163">
        <v>7</v>
      </c>
      <c r="G163" t="str">
        <f>PROPER(TRIM(Table1[[#This Row],[Product]]))</f>
        <v>Phone</v>
      </c>
      <c r="H163" t="str">
        <f>PROPER(TRIM(Table1[[#This Row],[Region]]))</f>
        <v>North</v>
      </c>
      <c r="I163" s="6">
        <f>Table1[[#This Row],[Sales]]*Table1[[#This Row],[Quantity]]</f>
        <v>253701</v>
      </c>
    </row>
    <row r="164" spans="1:9" x14ac:dyDescent="0.35">
      <c r="A164" t="s">
        <v>175</v>
      </c>
      <c r="B164" s="1">
        <v>45284</v>
      </c>
      <c r="C164" t="s">
        <v>18</v>
      </c>
      <c r="D164" t="s">
        <v>25</v>
      </c>
      <c r="E164" s="6">
        <v>30099</v>
      </c>
      <c r="F164">
        <v>7</v>
      </c>
      <c r="G164" t="str">
        <f>PROPER(TRIM(Table1[[#This Row],[Product]]))</f>
        <v>Tablet</v>
      </c>
      <c r="H164" t="str">
        <f>PROPER(TRIM(Table1[[#This Row],[Region]]))</f>
        <v>East</v>
      </c>
      <c r="I164" s="6">
        <f>Table1[[#This Row],[Sales]]*Table1[[#This Row],[Quantity]]</f>
        <v>210693</v>
      </c>
    </row>
    <row r="165" spans="1:9" x14ac:dyDescent="0.35">
      <c r="A165" t="s">
        <v>176</v>
      </c>
      <c r="B165" s="1">
        <v>45259</v>
      </c>
      <c r="C165" t="s">
        <v>18</v>
      </c>
      <c r="D165" t="s">
        <v>40</v>
      </c>
      <c r="E165" s="6">
        <v>36987</v>
      </c>
      <c r="F165">
        <v>4</v>
      </c>
      <c r="G165" t="str">
        <f>PROPER(TRIM(Table1[[#This Row],[Product]]))</f>
        <v>Headphones</v>
      </c>
      <c r="H165" t="str">
        <f>PROPER(TRIM(Table1[[#This Row],[Region]]))</f>
        <v>East</v>
      </c>
      <c r="I165" s="6">
        <f>Table1[[#This Row],[Sales]]*Table1[[#This Row],[Quantity]]</f>
        <v>147948</v>
      </c>
    </row>
    <row r="166" spans="1:9" x14ac:dyDescent="0.35">
      <c r="A166" t="s">
        <v>177</v>
      </c>
      <c r="B166" s="1">
        <v>45079</v>
      </c>
      <c r="C166" t="s">
        <v>8</v>
      </c>
      <c r="D166" t="s">
        <v>40</v>
      </c>
      <c r="E166" s="6">
        <v>718</v>
      </c>
      <c r="F166">
        <v>5</v>
      </c>
      <c r="G166" t="str">
        <f>PROPER(TRIM(Table1[[#This Row],[Product]]))</f>
        <v>Headphones</v>
      </c>
      <c r="H166" t="str">
        <f>PROPER(TRIM(Table1[[#This Row],[Region]]))</f>
        <v>North</v>
      </c>
      <c r="I166" s="6">
        <f>Table1[[#This Row],[Sales]]*Table1[[#This Row],[Quantity]]</f>
        <v>3590</v>
      </c>
    </row>
    <row r="167" spans="1:9" x14ac:dyDescent="0.35">
      <c r="A167" t="s">
        <v>178</v>
      </c>
      <c r="B167" s="1">
        <v>45214</v>
      </c>
      <c r="C167" t="s">
        <v>8</v>
      </c>
      <c r="D167" t="s">
        <v>28</v>
      </c>
      <c r="E167" s="6">
        <v>32784</v>
      </c>
      <c r="F167">
        <v>5</v>
      </c>
      <c r="G167" t="str">
        <f>PROPER(TRIM(Table1[[#This Row],[Product]]))</f>
        <v>Phone</v>
      </c>
      <c r="H167" t="str">
        <f>PROPER(TRIM(Table1[[#This Row],[Region]]))</f>
        <v>North</v>
      </c>
      <c r="I167" s="6">
        <f>Table1[[#This Row],[Sales]]*Table1[[#This Row],[Quantity]]</f>
        <v>163920</v>
      </c>
    </row>
    <row r="168" spans="1:9" x14ac:dyDescent="0.35">
      <c r="A168" t="s">
        <v>179</v>
      </c>
      <c r="B168" s="1">
        <v>45025</v>
      </c>
      <c r="C168" t="s">
        <v>8</v>
      </c>
      <c r="D168" t="s">
        <v>25</v>
      </c>
      <c r="E168" s="6">
        <v>48279</v>
      </c>
      <c r="F168">
        <v>6</v>
      </c>
      <c r="G168" t="str">
        <f>PROPER(TRIM(Table1[[#This Row],[Product]]))</f>
        <v>Tablet</v>
      </c>
      <c r="H168" t="str">
        <f>PROPER(TRIM(Table1[[#This Row],[Region]]))</f>
        <v>North</v>
      </c>
      <c r="I168" s="6">
        <f>Table1[[#This Row],[Sales]]*Table1[[#This Row],[Quantity]]</f>
        <v>289674</v>
      </c>
    </row>
    <row r="169" spans="1:9" x14ac:dyDescent="0.35">
      <c r="A169" t="s">
        <v>180</v>
      </c>
      <c r="B169" s="1">
        <v>44961</v>
      </c>
      <c r="C169" t="s">
        <v>30</v>
      </c>
      <c r="D169" t="s">
        <v>31</v>
      </c>
      <c r="E169" s="6">
        <v>35976</v>
      </c>
      <c r="F169">
        <v>9</v>
      </c>
      <c r="G169" t="str">
        <f>PROPER(TRIM(Table1[[#This Row],[Product]]))</f>
        <v>Monitor</v>
      </c>
      <c r="H169" t="str">
        <f>PROPER(TRIM(Table1[[#This Row],[Region]]))</f>
        <v>West</v>
      </c>
      <c r="I169" s="6">
        <f>Table1[[#This Row],[Sales]]*Table1[[#This Row],[Quantity]]</f>
        <v>323784</v>
      </c>
    </row>
    <row r="170" spans="1:9" x14ac:dyDescent="0.35">
      <c r="A170" t="s">
        <v>181</v>
      </c>
      <c r="B170" s="1">
        <v>45049</v>
      </c>
      <c r="C170" t="s">
        <v>8</v>
      </c>
      <c r="D170" t="s">
        <v>31</v>
      </c>
      <c r="E170" s="6">
        <v>26230</v>
      </c>
      <c r="F170">
        <v>10</v>
      </c>
      <c r="G170" t="str">
        <f>PROPER(TRIM(Table1[[#This Row],[Product]]))</f>
        <v>Monitor</v>
      </c>
      <c r="H170" t="str">
        <f>PROPER(TRIM(Table1[[#This Row],[Region]]))</f>
        <v>North</v>
      </c>
      <c r="I170" s="6">
        <f>Table1[[#This Row],[Sales]]*Table1[[#This Row],[Quantity]]</f>
        <v>262300</v>
      </c>
    </row>
    <row r="171" spans="1:9" x14ac:dyDescent="0.35">
      <c r="A171" t="s">
        <v>182</v>
      </c>
      <c r="B171" s="1">
        <v>45143</v>
      </c>
      <c r="C171" t="s">
        <v>30</v>
      </c>
      <c r="D171" t="s">
        <v>40</v>
      </c>
      <c r="E171" s="6">
        <v>17906</v>
      </c>
      <c r="F171">
        <v>8</v>
      </c>
      <c r="G171" t="str">
        <f>PROPER(TRIM(Table1[[#This Row],[Product]]))</f>
        <v>Headphones</v>
      </c>
      <c r="H171" t="str">
        <f>PROPER(TRIM(Table1[[#This Row],[Region]]))</f>
        <v>West</v>
      </c>
      <c r="I171" s="6">
        <f>Table1[[#This Row],[Sales]]*Table1[[#This Row],[Quantity]]</f>
        <v>143248</v>
      </c>
    </row>
    <row r="172" spans="1:9" x14ac:dyDescent="0.35">
      <c r="A172" t="s">
        <v>183</v>
      </c>
      <c r="B172" s="1">
        <v>44975</v>
      </c>
      <c r="C172" t="s">
        <v>8</v>
      </c>
      <c r="D172" t="s">
        <v>40</v>
      </c>
      <c r="E172" s="6">
        <v>21688</v>
      </c>
      <c r="F172">
        <v>1</v>
      </c>
      <c r="G172" t="str">
        <f>PROPER(TRIM(Table1[[#This Row],[Product]]))</f>
        <v>Headphones</v>
      </c>
      <c r="H172" t="str">
        <f>PROPER(TRIM(Table1[[#This Row],[Region]]))</f>
        <v>North</v>
      </c>
      <c r="I172" s="6">
        <f>Table1[[#This Row],[Sales]]*Table1[[#This Row],[Quantity]]</f>
        <v>21688</v>
      </c>
    </row>
    <row r="173" spans="1:9" x14ac:dyDescent="0.35">
      <c r="A173" t="s">
        <v>184</v>
      </c>
      <c r="B173" s="1">
        <v>45145</v>
      </c>
      <c r="C173" t="s">
        <v>18</v>
      </c>
      <c r="D173" t="s">
        <v>13</v>
      </c>
      <c r="E173" s="6">
        <v>7038</v>
      </c>
      <c r="F173">
        <v>9</v>
      </c>
      <c r="G173" t="str">
        <f>PROPER(TRIM(Table1[[#This Row],[Product]]))</f>
        <v>Laptop</v>
      </c>
      <c r="H173" t="str">
        <f>PROPER(TRIM(Table1[[#This Row],[Region]]))</f>
        <v>East</v>
      </c>
      <c r="I173" s="6">
        <f>Table1[[#This Row],[Sales]]*Table1[[#This Row],[Quantity]]</f>
        <v>63342</v>
      </c>
    </row>
    <row r="174" spans="1:9" x14ac:dyDescent="0.35">
      <c r="A174" t="s">
        <v>185</v>
      </c>
      <c r="B174" s="1">
        <v>45123</v>
      </c>
      <c r="C174" t="s">
        <v>18</v>
      </c>
      <c r="D174" t="s">
        <v>31</v>
      </c>
      <c r="E174" s="6">
        <v>19241</v>
      </c>
      <c r="F174">
        <v>1</v>
      </c>
      <c r="G174" t="str">
        <f>PROPER(TRIM(Table1[[#This Row],[Product]]))</f>
        <v>Monitor</v>
      </c>
      <c r="H174" t="str">
        <f>PROPER(TRIM(Table1[[#This Row],[Region]]))</f>
        <v>East</v>
      </c>
      <c r="I174" s="6">
        <f>Table1[[#This Row],[Sales]]*Table1[[#This Row],[Quantity]]</f>
        <v>19241</v>
      </c>
    </row>
    <row r="175" spans="1:9" x14ac:dyDescent="0.35">
      <c r="A175" t="s">
        <v>186</v>
      </c>
      <c r="B175" s="1">
        <v>45007</v>
      </c>
      <c r="C175" t="s">
        <v>33</v>
      </c>
      <c r="D175" t="s">
        <v>31</v>
      </c>
      <c r="E175" s="6">
        <v>26826</v>
      </c>
      <c r="F175">
        <v>9</v>
      </c>
      <c r="G175" t="str">
        <f>PROPER(TRIM(Table1[[#This Row],[Product]]))</f>
        <v>Monitor</v>
      </c>
      <c r="H175" t="str">
        <f>PROPER(TRIM(Table1[[#This Row],[Region]]))</f>
        <v>South</v>
      </c>
      <c r="I175" s="6">
        <f>Table1[[#This Row],[Sales]]*Table1[[#This Row],[Quantity]]</f>
        <v>241434</v>
      </c>
    </row>
    <row r="176" spans="1:9" x14ac:dyDescent="0.35">
      <c r="A176" t="s">
        <v>187</v>
      </c>
      <c r="B176" s="1">
        <v>45153</v>
      </c>
      <c r="C176" t="s">
        <v>18</v>
      </c>
      <c r="D176" t="s">
        <v>31</v>
      </c>
      <c r="E176" s="6">
        <v>5824</v>
      </c>
      <c r="F176">
        <v>2</v>
      </c>
      <c r="G176" t="str">
        <f>PROPER(TRIM(Table1[[#This Row],[Product]]))</f>
        <v>Monitor</v>
      </c>
      <c r="H176" t="str">
        <f>PROPER(TRIM(Table1[[#This Row],[Region]]))</f>
        <v>East</v>
      </c>
      <c r="I176" s="6">
        <f>Table1[[#This Row],[Sales]]*Table1[[#This Row],[Quantity]]</f>
        <v>11648</v>
      </c>
    </row>
    <row r="177" spans="1:9" x14ac:dyDescent="0.35">
      <c r="A177" t="s">
        <v>188</v>
      </c>
      <c r="B177" s="1">
        <v>45058</v>
      </c>
      <c r="C177" t="s">
        <v>18</v>
      </c>
      <c r="D177" t="s">
        <v>25</v>
      </c>
      <c r="E177" s="6">
        <v>32640</v>
      </c>
      <c r="F177">
        <v>3</v>
      </c>
      <c r="G177" t="str">
        <f>PROPER(TRIM(Table1[[#This Row],[Product]]))</f>
        <v>Tablet</v>
      </c>
      <c r="H177" t="str">
        <f>PROPER(TRIM(Table1[[#This Row],[Region]]))</f>
        <v>East</v>
      </c>
      <c r="I177" s="6">
        <f>Table1[[#This Row],[Sales]]*Table1[[#This Row],[Quantity]]</f>
        <v>97920</v>
      </c>
    </row>
    <row r="178" spans="1:9" x14ac:dyDescent="0.35">
      <c r="A178" t="s">
        <v>189</v>
      </c>
      <c r="B178" s="1">
        <v>45036</v>
      </c>
      <c r="C178" t="s">
        <v>33</v>
      </c>
      <c r="D178" t="s">
        <v>28</v>
      </c>
      <c r="E178" s="6">
        <v>37708</v>
      </c>
      <c r="F178">
        <v>4</v>
      </c>
      <c r="G178" t="str">
        <f>PROPER(TRIM(Table1[[#This Row],[Product]]))</f>
        <v>Phone</v>
      </c>
      <c r="H178" t="str">
        <f>PROPER(TRIM(Table1[[#This Row],[Region]]))</f>
        <v>South</v>
      </c>
      <c r="I178" s="6">
        <f>Table1[[#This Row],[Sales]]*Table1[[#This Row],[Quantity]]</f>
        <v>150832</v>
      </c>
    </row>
    <row r="179" spans="1:9" x14ac:dyDescent="0.35">
      <c r="A179" t="s">
        <v>190</v>
      </c>
      <c r="B179" s="1">
        <v>44987</v>
      </c>
      <c r="C179" t="s">
        <v>8</v>
      </c>
      <c r="D179" t="s">
        <v>40</v>
      </c>
      <c r="E179" s="6">
        <v>43846</v>
      </c>
      <c r="F179">
        <v>9</v>
      </c>
      <c r="G179" t="str">
        <f>PROPER(TRIM(Table1[[#This Row],[Product]]))</f>
        <v>Headphones</v>
      </c>
      <c r="H179" t="str">
        <f>PROPER(TRIM(Table1[[#This Row],[Region]]))</f>
        <v>North</v>
      </c>
      <c r="I179" s="6">
        <f>Table1[[#This Row],[Sales]]*Table1[[#This Row],[Quantity]]</f>
        <v>394614</v>
      </c>
    </row>
    <row r="180" spans="1:9" x14ac:dyDescent="0.35">
      <c r="A180" t="s">
        <v>191</v>
      </c>
      <c r="B180" s="1">
        <v>45086</v>
      </c>
      <c r="C180" t="s">
        <v>18</v>
      </c>
      <c r="D180" t="s">
        <v>31</v>
      </c>
      <c r="E180" s="6">
        <v>15436</v>
      </c>
      <c r="F180">
        <v>8</v>
      </c>
      <c r="G180" t="str">
        <f>PROPER(TRIM(Table1[[#This Row],[Product]]))</f>
        <v>Monitor</v>
      </c>
      <c r="H180" t="str">
        <f>PROPER(TRIM(Table1[[#This Row],[Region]]))</f>
        <v>East</v>
      </c>
      <c r="I180" s="6">
        <f>Table1[[#This Row],[Sales]]*Table1[[#This Row],[Quantity]]</f>
        <v>123488</v>
      </c>
    </row>
    <row r="181" spans="1:9" x14ac:dyDescent="0.35">
      <c r="A181" t="s">
        <v>192</v>
      </c>
      <c r="B181" s="1">
        <v>45242</v>
      </c>
      <c r="C181" t="s">
        <v>33</v>
      </c>
      <c r="D181" t="s">
        <v>31</v>
      </c>
      <c r="E181" s="6">
        <v>20218</v>
      </c>
      <c r="F181">
        <v>1</v>
      </c>
      <c r="G181" t="str">
        <f>PROPER(TRIM(Table1[[#This Row],[Product]]))</f>
        <v>Monitor</v>
      </c>
      <c r="H181" t="str">
        <f>PROPER(TRIM(Table1[[#This Row],[Region]]))</f>
        <v>South</v>
      </c>
      <c r="I181" s="6">
        <f>Table1[[#This Row],[Sales]]*Table1[[#This Row],[Quantity]]</f>
        <v>20218</v>
      </c>
    </row>
    <row r="182" spans="1:9" x14ac:dyDescent="0.35">
      <c r="A182" t="s">
        <v>193</v>
      </c>
      <c r="B182" s="1">
        <v>45271</v>
      </c>
      <c r="C182" t="s">
        <v>30</v>
      </c>
      <c r="D182" t="s">
        <v>13</v>
      </c>
      <c r="E182" s="6">
        <v>26968</v>
      </c>
      <c r="F182">
        <v>5</v>
      </c>
      <c r="G182" t="str">
        <f>PROPER(TRIM(Table1[[#This Row],[Product]]))</f>
        <v>Laptop</v>
      </c>
      <c r="H182" t="str">
        <f>PROPER(TRIM(Table1[[#This Row],[Region]]))</f>
        <v>West</v>
      </c>
      <c r="I182" s="6">
        <f>Table1[[#This Row],[Sales]]*Table1[[#This Row],[Quantity]]</f>
        <v>134840</v>
      </c>
    </row>
    <row r="183" spans="1:9" x14ac:dyDescent="0.35">
      <c r="A183" t="s">
        <v>194</v>
      </c>
      <c r="B183" s="1">
        <v>45226</v>
      </c>
      <c r="C183" t="s">
        <v>30</v>
      </c>
      <c r="D183" t="s">
        <v>13</v>
      </c>
      <c r="E183" s="6">
        <v>21271</v>
      </c>
      <c r="F183">
        <v>5</v>
      </c>
      <c r="G183" t="str">
        <f>PROPER(TRIM(Table1[[#This Row],[Product]]))</f>
        <v>Laptop</v>
      </c>
      <c r="H183" t="str">
        <f>PROPER(TRIM(Table1[[#This Row],[Region]]))</f>
        <v>West</v>
      </c>
      <c r="I183" s="6">
        <f>Table1[[#This Row],[Sales]]*Table1[[#This Row],[Quantity]]</f>
        <v>106355</v>
      </c>
    </row>
    <row r="184" spans="1:9" x14ac:dyDescent="0.35">
      <c r="A184" t="s">
        <v>195</v>
      </c>
      <c r="B184" s="1">
        <v>45047</v>
      </c>
      <c r="C184" t="s">
        <v>18</v>
      </c>
      <c r="D184" t="s">
        <v>28</v>
      </c>
      <c r="E184" s="6">
        <v>33663</v>
      </c>
      <c r="F184">
        <v>7</v>
      </c>
      <c r="G184" t="str">
        <f>PROPER(TRIM(Table1[[#This Row],[Product]]))</f>
        <v>Phone</v>
      </c>
      <c r="H184" t="str">
        <f>PROPER(TRIM(Table1[[#This Row],[Region]]))</f>
        <v>East</v>
      </c>
      <c r="I184" s="6">
        <f>Table1[[#This Row],[Sales]]*Table1[[#This Row],[Quantity]]</f>
        <v>235641</v>
      </c>
    </row>
    <row r="185" spans="1:9" x14ac:dyDescent="0.35">
      <c r="A185" t="s">
        <v>196</v>
      </c>
      <c r="B185" s="1">
        <v>44965</v>
      </c>
      <c r="C185" t="s">
        <v>33</v>
      </c>
      <c r="D185" t="s">
        <v>31</v>
      </c>
      <c r="E185" s="6">
        <v>32605</v>
      </c>
      <c r="F185">
        <v>6</v>
      </c>
      <c r="G185" t="str">
        <f>PROPER(TRIM(Table1[[#This Row],[Product]]))</f>
        <v>Monitor</v>
      </c>
      <c r="H185" t="str">
        <f>PROPER(TRIM(Table1[[#This Row],[Region]]))</f>
        <v>South</v>
      </c>
      <c r="I185" s="6">
        <f>Table1[[#This Row],[Sales]]*Table1[[#This Row],[Quantity]]</f>
        <v>195630</v>
      </c>
    </row>
    <row r="186" spans="1:9" x14ac:dyDescent="0.35">
      <c r="A186" t="s">
        <v>197</v>
      </c>
      <c r="B186" s="1">
        <v>44971</v>
      </c>
      <c r="C186" t="s">
        <v>30</v>
      </c>
      <c r="D186" t="s">
        <v>13</v>
      </c>
      <c r="E186" s="6">
        <v>6067</v>
      </c>
      <c r="F186">
        <v>7</v>
      </c>
      <c r="G186" t="str">
        <f>PROPER(TRIM(Table1[[#This Row],[Product]]))</f>
        <v>Laptop</v>
      </c>
      <c r="H186" t="str">
        <f>PROPER(TRIM(Table1[[#This Row],[Region]]))</f>
        <v>West</v>
      </c>
      <c r="I186" s="6">
        <f>Table1[[#This Row],[Sales]]*Table1[[#This Row],[Quantity]]</f>
        <v>42469</v>
      </c>
    </row>
    <row r="187" spans="1:9" x14ac:dyDescent="0.35">
      <c r="A187" t="s">
        <v>198</v>
      </c>
      <c r="B187" s="1">
        <v>45175</v>
      </c>
      <c r="C187" t="s">
        <v>33</v>
      </c>
      <c r="D187" t="s">
        <v>28</v>
      </c>
      <c r="E187" s="6">
        <v>27772</v>
      </c>
      <c r="F187">
        <v>1</v>
      </c>
      <c r="G187" t="str">
        <f>PROPER(TRIM(Table1[[#This Row],[Product]]))</f>
        <v>Phone</v>
      </c>
      <c r="H187" t="str">
        <f>PROPER(TRIM(Table1[[#This Row],[Region]]))</f>
        <v>South</v>
      </c>
      <c r="I187" s="6">
        <f>Table1[[#This Row],[Sales]]*Table1[[#This Row],[Quantity]]</f>
        <v>27772</v>
      </c>
    </row>
    <row r="188" spans="1:9" x14ac:dyDescent="0.35">
      <c r="A188" t="s">
        <v>199</v>
      </c>
      <c r="B188" s="1">
        <v>45048</v>
      </c>
      <c r="C188" t="s">
        <v>33</v>
      </c>
      <c r="D188" t="s">
        <v>25</v>
      </c>
      <c r="E188" s="6">
        <v>2095</v>
      </c>
      <c r="F188">
        <v>1</v>
      </c>
      <c r="G188" t="str">
        <f>PROPER(TRIM(Table1[[#This Row],[Product]]))</f>
        <v>Tablet</v>
      </c>
      <c r="H188" t="str">
        <f>PROPER(TRIM(Table1[[#This Row],[Region]]))</f>
        <v>South</v>
      </c>
      <c r="I188" s="6">
        <f>Table1[[#This Row],[Sales]]*Table1[[#This Row],[Quantity]]</f>
        <v>2095</v>
      </c>
    </row>
    <row r="189" spans="1:9" x14ac:dyDescent="0.35">
      <c r="A189" t="s">
        <v>200</v>
      </c>
      <c r="B189" s="1">
        <v>45151</v>
      </c>
      <c r="C189" t="s">
        <v>30</v>
      </c>
      <c r="D189" t="s">
        <v>13</v>
      </c>
      <c r="E189" s="6">
        <v>11361</v>
      </c>
      <c r="F189">
        <v>10</v>
      </c>
      <c r="G189" t="str">
        <f>PROPER(TRIM(Table1[[#This Row],[Product]]))</f>
        <v>Laptop</v>
      </c>
      <c r="H189" t="str">
        <f>PROPER(TRIM(Table1[[#This Row],[Region]]))</f>
        <v>West</v>
      </c>
      <c r="I189" s="6">
        <f>Table1[[#This Row],[Sales]]*Table1[[#This Row],[Quantity]]</f>
        <v>113610</v>
      </c>
    </row>
    <row r="190" spans="1:9" x14ac:dyDescent="0.35">
      <c r="A190" t="s">
        <v>201</v>
      </c>
      <c r="B190" s="1">
        <v>45042</v>
      </c>
      <c r="C190" t="s">
        <v>18</v>
      </c>
      <c r="D190" t="s">
        <v>28</v>
      </c>
      <c r="E190" s="6">
        <v>38336</v>
      </c>
      <c r="F190">
        <v>7</v>
      </c>
      <c r="G190" t="str">
        <f>PROPER(TRIM(Table1[[#This Row],[Product]]))</f>
        <v>Phone</v>
      </c>
      <c r="H190" t="str">
        <f>PROPER(TRIM(Table1[[#This Row],[Region]]))</f>
        <v>East</v>
      </c>
      <c r="I190" s="6">
        <f>Table1[[#This Row],[Sales]]*Table1[[#This Row],[Quantity]]</f>
        <v>268352</v>
      </c>
    </row>
    <row r="191" spans="1:9" x14ac:dyDescent="0.35">
      <c r="A191" t="s">
        <v>202</v>
      </c>
      <c r="B191" s="1">
        <v>45048</v>
      </c>
      <c r="C191" t="s">
        <v>18</v>
      </c>
      <c r="D191" t="s">
        <v>40</v>
      </c>
      <c r="E191" s="6">
        <v>16207</v>
      </c>
      <c r="F191">
        <v>6</v>
      </c>
      <c r="G191" t="str">
        <f>PROPER(TRIM(Table1[[#This Row],[Product]]))</f>
        <v>Headphones</v>
      </c>
      <c r="H191" t="str">
        <f>PROPER(TRIM(Table1[[#This Row],[Region]]))</f>
        <v>East</v>
      </c>
      <c r="I191" s="6">
        <f>Table1[[#This Row],[Sales]]*Table1[[#This Row],[Quantity]]</f>
        <v>97242</v>
      </c>
    </row>
    <row r="192" spans="1:9" x14ac:dyDescent="0.35">
      <c r="A192" t="s">
        <v>203</v>
      </c>
      <c r="B192" s="1">
        <v>45290</v>
      </c>
      <c r="C192" t="s">
        <v>8</v>
      </c>
      <c r="D192" t="s">
        <v>40</v>
      </c>
      <c r="E192" s="6">
        <v>35689</v>
      </c>
      <c r="F192">
        <v>9</v>
      </c>
      <c r="G192" t="str">
        <f>PROPER(TRIM(Table1[[#This Row],[Product]]))</f>
        <v>Headphones</v>
      </c>
      <c r="H192" t="str">
        <f>PROPER(TRIM(Table1[[#This Row],[Region]]))</f>
        <v>North</v>
      </c>
      <c r="I192" s="6">
        <f>Table1[[#This Row],[Sales]]*Table1[[#This Row],[Quantity]]</f>
        <v>321201</v>
      </c>
    </row>
    <row r="193" spans="1:9" x14ac:dyDescent="0.35">
      <c r="A193" t="s">
        <v>204</v>
      </c>
      <c r="B193" s="1">
        <v>45259</v>
      </c>
      <c r="C193" t="s">
        <v>18</v>
      </c>
      <c r="D193" t="s">
        <v>25</v>
      </c>
      <c r="E193" s="6">
        <v>43491</v>
      </c>
      <c r="F193">
        <v>7</v>
      </c>
      <c r="G193" t="str">
        <f>PROPER(TRIM(Table1[[#This Row],[Product]]))</f>
        <v>Tablet</v>
      </c>
      <c r="H193" t="str">
        <f>PROPER(TRIM(Table1[[#This Row],[Region]]))</f>
        <v>East</v>
      </c>
      <c r="I193" s="6">
        <f>Table1[[#This Row],[Sales]]*Table1[[#This Row],[Quantity]]</f>
        <v>304437</v>
      </c>
    </row>
    <row r="194" spans="1:9" x14ac:dyDescent="0.35">
      <c r="A194" t="s">
        <v>205</v>
      </c>
      <c r="B194" s="1">
        <v>45279</v>
      </c>
      <c r="C194" t="s">
        <v>30</v>
      </c>
      <c r="D194" t="s">
        <v>13</v>
      </c>
      <c r="E194" s="6">
        <v>33325</v>
      </c>
      <c r="F194">
        <v>9</v>
      </c>
      <c r="G194" t="str">
        <f>PROPER(TRIM(Table1[[#This Row],[Product]]))</f>
        <v>Laptop</v>
      </c>
      <c r="H194" t="str">
        <f>PROPER(TRIM(Table1[[#This Row],[Region]]))</f>
        <v>West</v>
      </c>
      <c r="I194" s="6">
        <f>Table1[[#This Row],[Sales]]*Table1[[#This Row],[Quantity]]</f>
        <v>299925</v>
      </c>
    </row>
    <row r="195" spans="1:9" x14ac:dyDescent="0.35">
      <c r="A195" t="s">
        <v>206</v>
      </c>
      <c r="B195" s="1">
        <v>45088</v>
      </c>
      <c r="C195" t="s">
        <v>33</v>
      </c>
      <c r="D195" t="s">
        <v>31</v>
      </c>
      <c r="E195" s="6">
        <v>39731</v>
      </c>
      <c r="F195">
        <v>5</v>
      </c>
      <c r="G195" t="str">
        <f>PROPER(TRIM(Table1[[#This Row],[Product]]))</f>
        <v>Monitor</v>
      </c>
      <c r="H195" t="str">
        <f>PROPER(TRIM(Table1[[#This Row],[Region]]))</f>
        <v>South</v>
      </c>
      <c r="I195" s="6">
        <f>Table1[[#This Row],[Sales]]*Table1[[#This Row],[Quantity]]</f>
        <v>198655</v>
      </c>
    </row>
    <row r="196" spans="1:9" x14ac:dyDescent="0.35">
      <c r="A196" t="s">
        <v>207</v>
      </c>
      <c r="B196" s="1">
        <v>45000</v>
      </c>
      <c r="C196" t="s">
        <v>8</v>
      </c>
      <c r="D196" t="s">
        <v>28</v>
      </c>
      <c r="E196" s="6">
        <v>5034</v>
      </c>
      <c r="F196">
        <v>7</v>
      </c>
      <c r="G196" t="str">
        <f>PROPER(TRIM(Table1[[#This Row],[Product]]))</f>
        <v>Phone</v>
      </c>
      <c r="H196" t="str">
        <f>PROPER(TRIM(Table1[[#This Row],[Region]]))</f>
        <v>North</v>
      </c>
      <c r="I196" s="6">
        <f>Table1[[#This Row],[Sales]]*Table1[[#This Row],[Quantity]]</f>
        <v>35238</v>
      </c>
    </row>
    <row r="197" spans="1:9" x14ac:dyDescent="0.35">
      <c r="A197" t="s">
        <v>208</v>
      </c>
      <c r="B197" s="1">
        <v>45130</v>
      </c>
      <c r="C197" t="s">
        <v>18</v>
      </c>
      <c r="D197" t="s">
        <v>31</v>
      </c>
      <c r="E197" s="6">
        <v>43683</v>
      </c>
      <c r="F197">
        <v>10</v>
      </c>
      <c r="G197" t="str">
        <f>PROPER(TRIM(Table1[[#This Row],[Product]]))</f>
        <v>Monitor</v>
      </c>
      <c r="H197" t="str">
        <f>PROPER(TRIM(Table1[[#This Row],[Region]]))</f>
        <v>East</v>
      </c>
      <c r="I197" s="6">
        <f>Table1[[#This Row],[Sales]]*Table1[[#This Row],[Quantity]]</f>
        <v>436830</v>
      </c>
    </row>
    <row r="198" spans="1:9" x14ac:dyDescent="0.35">
      <c r="A198" t="s">
        <v>209</v>
      </c>
      <c r="B198" s="1">
        <v>45088</v>
      </c>
      <c r="C198" t="s">
        <v>30</v>
      </c>
      <c r="D198" t="s">
        <v>40</v>
      </c>
      <c r="E198" s="6">
        <v>1949</v>
      </c>
      <c r="F198">
        <v>4</v>
      </c>
      <c r="G198" t="str">
        <f>PROPER(TRIM(Table1[[#This Row],[Product]]))</f>
        <v>Headphones</v>
      </c>
      <c r="H198" t="str">
        <f>PROPER(TRIM(Table1[[#This Row],[Region]]))</f>
        <v>West</v>
      </c>
      <c r="I198" s="6">
        <f>Table1[[#This Row],[Sales]]*Table1[[#This Row],[Quantity]]</f>
        <v>7796</v>
      </c>
    </row>
    <row r="199" spans="1:9" x14ac:dyDescent="0.35">
      <c r="A199" t="s">
        <v>210</v>
      </c>
      <c r="B199" s="1">
        <v>45218</v>
      </c>
      <c r="C199" t="s">
        <v>30</v>
      </c>
      <c r="D199" t="s">
        <v>13</v>
      </c>
      <c r="E199" s="6">
        <v>41605</v>
      </c>
      <c r="F199">
        <v>8</v>
      </c>
      <c r="G199" t="str">
        <f>PROPER(TRIM(Table1[[#This Row],[Product]]))</f>
        <v>Laptop</v>
      </c>
      <c r="H199" t="str">
        <f>PROPER(TRIM(Table1[[#This Row],[Region]]))</f>
        <v>West</v>
      </c>
      <c r="I199" s="6">
        <f>Table1[[#This Row],[Sales]]*Table1[[#This Row],[Quantity]]</f>
        <v>332840</v>
      </c>
    </row>
    <row r="200" spans="1:9" x14ac:dyDescent="0.35">
      <c r="A200" t="s">
        <v>211</v>
      </c>
      <c r="B200" s="1">
        <v>45226</v>
      </c>
      <c r="C200" t="s">
        <v>18</v>
      </c>
      <c r="D200" t="s">
        <v>28</v>
      </c>
      <c r="E200" s="6">
        <v>13917</v>
      </c>
      <c r="F200">
        <v>1</v>
      </c>
      <c r="G200" t="str">
        <f>PROPER(TRIM(Table1[[#This Row],[Product]]))</f>
        <v>Phone</v>
      </c>
      <c r="H200" t="str">
        <f>PROPER(TRIM(Table1[[#This Row],[Region]]))</f>
        <v>East</v>
      </c>
      <c r="I200" s="6">
        <f>Table1[[#This Row],[Sales]]*Table1[[#This Row],[Quantity]]</f>
        <v>13917</v>
      </c>
    </row>
    <row r="201" spans="1:9" x14ac:dyDescent="0.35">
      <c r="A201" t="s">
        <v>212</v>
      </c>
      <c r="B201" s="1">
        <v>45193</v>
      </c>
      <c r="C201" t="s">
        <v>30</v>
      </c>
      <c r="D201" t="s">
        <v>13</v>
      </c>
      <c r="E201" s="6">
        <v>20466</v>
      </c>
      <c r="F201">
        <v>7</v>
      </c>
      <c r="G201" t="str">
        <f>PROPER(TRIM(Table1[[#This Row],[Product]]))</f>
        <v>Laptop</v>
      </c>
      <c r="H201" t="str">
        <f>PROPER(TRIM(Table1[[#This Row],[Region]]))</f>
        <v>West</v>
      </c>
      <c r="I201" s="6">
        <f>Table1[[#This Row],[Sales]]*Table1[[#This Row],[Quantity]]</f>
        <v>143262</v>
      </c>
    </row>
    <row r="202" spans="1:9" x14ac:dyDescent="0.35">
      <c r="A202" t="s">
        <v>213</v>
      </c>
      <c r="B202" s="1">
        <v>45052</v>
      </c>
      <c r="C202" t="s">
        <v>33</v>
      </c>
      <c r="D202" t="s">
        <v>13</v>
      </c>
      <c r="E202" s="6">
        <v>6646</v>
      </c>
      <c r="F202">
        <v>6</v>
      </c>
      <c r="G202" t="str">
        <f>PROPER(TRIM(Table1[[#This Row],[Product]]))</f>
        <v>Laptop</v>
      </c>
      <c r="H202" t="str">
        <f>PROPER(TRIM(Table1[[#This Row],[Region]]))</f>
        <v>South</v>
      </c>
      <c r="I202" s="6">
        <f>Table1[[#This Row],[Sales]]*Table1[[#This Row],[Quantity]]</f>
        <v>39876</v>
      </c>
    </row>
    <row r="203" spans="1:9" x14ac:dyDescent="0.35">
      <c r="A203" t="s">
        <v>214</v>
      </c>
      <c r="B203" s="1">
        <v>44945</v>
      </c>
      <c r="C203" t="s">
        <v>8</v>
      </c>
      <c r="D203" t="s">
        <v>25</v>
      </c>
      <c r="E203" s="6">
        <v>11521</v>
      </c>
      <c r="F203">
        <v>7</v>
      </c>
      <c r="G203" t="str">
        <f>PROPER(TRIM(Table1[[#This Row],[Product]]))</f>
        <v>Tablet</v>
      </c>
      <c r="H203" t="str">
        <f>PROPER(TRIM(Table1[[#This Row],[Region]]))</f>
        <v>North</v>
      </c>
      <c r="I203" s="6">
        <f>Table1[[#This Row],[Sales]]*Table1[[#This Row],[Quantity]]</f>
        <v>80647</v>
      </c>
    </row>
    <row r="204" spans="1:9" x14ac:dyDescent="0.35">
      <c r="A204" t="s">
        <v>214</v>
      </c>
      <c r="B204" s="1">
        <v>44945</v>
      </c>
      <c r="C204" t="s">
        <v>8</v>
      </c>
      <c r="D204" t="s">
        <v>25</v>
      </c>
      <c r="E204" s="6">
        <v>11521</v>
      </c>
      <c r="F204">
        <v>7</v>
      </c>
      <c r="G204" t="str">
        <f>PROPER(TRIM(Table1[[#This Row],[Product]]))</f>
        <v>Tablet</v>
      </c>
      <c r="H204" t="str">
        <f>PROPER(TRIM(Table1[[#This Row],[Region]]))</f>
        <v>North</v>
      </c>
      <c r="I204" s="6">
        <f>Table1[[#This Row],[Sales]]*Table1[[#This Row],[Quantity]]</f>
        <v>80647</v>
      </c>
    </row>
    <row r="205" spans="1:9" x14ac:dyDescent="0.35">
      <c r="A205" t="s">
        <v>215</v>
      </c>
      <c r="B205" s="1">
        <v>45200</v>
      </c>
      <c r="C205" t="s">
        <v>33</v>
      </c>
      <c r="D205" t="s">
        <v>28</v>
      </c>
      <c r="E205" s="6">
        <v>14815</v>
      </c>
      <c r="F205">
        <v>2</v>
      </c>
      <c r="G205" t="str">
        <f>PROPER(TRIM(Table1[[#This Row],[Product]]))</f>
        <v>Phone</v>
      </c>
      <c r="H205" t="str">
        <f>PROPER(TRIM(Table1[[#This Row],[Region]]))</f>
        <v>South</v>
      </c>
      <c r="I205" s="6">
        <f>Table1[[#This Row],[Sales]]*Table1[[#This Row],[Quantity]]</f>
        <v>29630</v>
      </c>
    </row>
    <row r="206" spans="1:9" x14ac:dyDescent="0.35">
      <c r="A206" t="s">
        <v>216</v>
      </c>
      <c r="B206" s="1">
        <v>44965</v>
      </c>
      <c r="C206" t="s">
        <v>30</v>
      </c>
      <c r="D206" t="s">
        <v>40</v>
      </c>
      <c r="E206" s="6">
        <v>17323</v>
      </c>
      <c r="F206">
        <v>3</v>
      </c>
      <c r="G206" t="str">
        <f>PROPER(TRIM(Table1[[#This Row],[Product]]))</f>
        <v>Headphones</v>
      </c>
      <c r="H206" t="str">
        <f>PROPER(TRIM(Table1[[#This Row],[Region]]))</f>
        <v>West</v>
      </c>
      <c r="I206" s="6">
        <f>Table1[[#This Row],[Sales]]*Table1[[#This Row],[Quantity]]</f>
        <v>51969</v>
      </c>
    </row>
    <row r="207" spans="1:9" x14ac:dyDescent="0.35">
      <c r="A207" t="s">
        <v>217</v>
      </c>
      <c r="B207" s="1">
        <v>45110</v>
      </c>
      <c r="C207" t="s">
        <v>18</v>
      </c>
      <c r="D207" t="s">
        <v>28</v>
      </c>
      <c r="E207" s="6">
        <v>19439</v>
      </c>
      <c r="F207">
        <v>6</v>
      </c>
      <c r="G207" t="str">
        <f>PROPER(TRIM(Table1[[#This Row],[Product]]))</f>
        <v>Phone</v>
      </c>
      <c r="H207" t="str">
        <f>PROPER(TRIM(Table1[[#This Row],[Region]]))</f>
        <v>East</v>
      </c>
      <c r="I207" s="6">
        <f>Table1[[#This Row],[Sales]]*Table1[[#This Row],[Quantity]]</f>
        <v>116634</v>
      </c>
    </row>
    <row r="208" spans="1:9" x14ac:dyDescent="0.35">
      <c r="A208" t="s">
        <v>218</v>
      </c>
      <c r="B208" s="1">
        <v>44993</v>
      </c>
      <c r="C208" t="s">
        <v>18</v>
      </c>
      <c r="D208" t="s">
        <v>40</v>
      </c>
      <c r="E208" s="6">
        <v>25779</v>
      </c>
      <c r="F208">
        <v>2</v>
      </c>
      <c r="G208" t="str">
        <f>PROPER(TRIM(Table1[[#This Row],[Product]]))</f>
        <v>Headphones</v>
      </c>
      <c r="H208" t="str">
        <f>PROPER(TRIM(Table1[[#This Row],[Region]]))</f>
        <v>East</v>
      </c>
      <c r="I208" s="6">
        <f>Table1[[#This Row],[Sales]]*Table1[[#This Row],[Quantity]]</f>
        <v>51558</v>
      </c>
    </row>
    <row r="209" spans="1:9" x14ac:dyDescent="0.35">
      <c r="A209" t="s">
        <v>219</v>
      </c>
      <c r="B209" s="1">
        <v>44964</v>
      </c>
      <c r="C209" t="s">
        <v>18</v>
      </c>
      <c r="D209" t="s">
        <v>28</v>
      </c>
      <c r="E209" s="6">
        <v>31958</v>
      </c>
      <c r="F209">
        <v>10</v>
      </c>
      <c r="G209" t="str">
        <f>PROPER(TRIM(Table1[[#This Row],[Product]]))</f>
        <v>Phone</v>
      </c>
      <c r="H209" t="str">
        <f>PROPER(TRIM(Table1[[#This Row],[Region]]))</f>
        <v>East</v>
      </c>
      <c r="I209" s="6">
        <f>Table1[[#This Row],[Sales]]*Table1[[#This Row],[Quantity]]</f>
        <v>319580</v>
      </c>
    </row>
    <row r="210" spans="1:9" x14ac:dyDescent="0.35">
      <c r="A210" t="s">
        <v>220</v>
      </c>
      <c r="B210" s="1">
        <v>45286</v>
      </c>
      <c r="C210" t="s">
        <v>18</v>
      </c>
      <c r="D210" t="s">
        <v>28</v>
      </c>
      <c r="E210" s="6">
        <v>5235</v>
      </c>
      <c r="F210">
        <v>1</v>
      </c>
      <c r="G210" t="str">
        <f>PROPER(TRIM(Table1[[#This Row],[Product]]))</f>
        <v>Phone</v>
      </c>
      <c r="H210" t="str">
        <f>PROPER(TRIM(Table1[[#This Row],[Region]]))</f>
        <v>East</v>
      </c>
      <c r="I210" s="6">
        <f>Table1[[#This Row],[Sales]]*Table1[[#This Row],[Quantity]]</f>
        <v>5235</v>
      </c>
    </row>
    <row r="211" spans="1:9" x14ac:dyDescent="0.35">
      <c r="A211" t="s">
        <v>221</v>
      </c>
      <c r="B211" s="1">
        <v>45070</v>
      </c>
      <c r="C211" t="s">
        <v>18</v>
      </c>
      <c r="D211" t="s">
        <v>25</v>
      </c>
      <c r="E211" s="6">
        <v>15237</v>
      </c>
      <c r="F211">
        <v>10</v>
      </c>
      <c r="G211" t="str">
        <f>PROPER(TRIM(Table1[[#This Row],[Product]]))</f>
        <v>Tablet</v>
      </c>
      <c r="H211" t="str">
        <f>PROPER(TRIM(Table1[[#This Row],[Region]]))</f>
        <v>East</v>
      </c>
      <c r="I211" s="6">
        <f>Table1[[#This Row],[Sales]]*Table1[[#This Row],[Quantity]]</f>
        <v>152370</v>
      </c>
    </row>
    <row r="212" spans="1:9" x14ac:dyDescent="0.35">
      <c r="A212" t="s">
        <v>222</v>
      </c>
      <c r="B212" s="1">
        <v>44977</v>
      </c>
      <c r="C212" t="s">
        <v>33</v>
      </c>
      <c r="D212" t="s">
        <v>31</v>
      </c>
      <c r="E212" s="6">
        <v>17149</v>
      </c>
      <c r="F212">
        <v>4</v>
      </c>
      <c r="G212" t="str">
        <f>PROPER(TRIM(Table1[[#This Row],[Product]]))</f>
        <v>Monitor</v>
      </c>
      <c r="H212" t="str">
        <f>PROPER(TRIM(Table1[[#This Row],[Region]]))</f>
        <v>South</v>
      </c>
      <c r="I212" s="6">
        <f>Table1[[#This Row],[Sales]]*Table1[[#This Row],[Quantity]]</f>
        <v>68596</v>
      </c>
    </row>
    <row r="213" spans="1:9" x14ac:dyDescent="0.35">
      <c r="A213" t="s">
        <v>223</v>
      </c>
      <c r="B213" s="1">
        <v>45114</v>
      </c>
      <c r="C213" t="s">
        <v>30</v>
      </c>
      <c r="D213" t="s">
        <v>31</v>
      </c>
      <c r="E213" s="6">
        <v>48131</v>
      </c>
      <c r="F213">
        <v>3</v>
      </c>
      <c r="G213" t="str">
        <f>PROPER(TRIM(Table1[[#This Row],[Product]]))</f>
        <v>Monitor</v>
      </c>
      <c r="H213" t="str">
        <f>PROPER(TRIM(Table1[[#This Row],[Region]]))</f>
        <v>West</v>
      </c>
      <c r="I213" s="6">
        <f>Table1[[#This Row],[Sales]]*Table1[[#This Row],[Quantity]]</f>
        <v>144393</v>
      </c>
    </row>
    <row r="214" spans="1:9" x14ac:dyDescent="0.35">
      <c r="A214" t="s">
        <v>224</v>
      </c>
      <c r="B214" s="1">
        <v>44958</v>
      </c>
      <c r="C214" t="s">
        <v>18</v>
      </c>
      <c r="D214" t="s">
        <v>28</v>
      </c>
      <c r="E214" s="6">
        <v>49622</v>
      </c>
      <c r="F214">
        <v>10</v>
      </c>
      <c r="G214" t="str">
        <f>PROPER(TRIM(Table1[[#This Row],[Product]]))</f>
        <v>Phone</v>
      </c>
      <c r="H214" t="str">
        <f>PROPER(TRIM(Table1[[#This Row],[Region]]))</f>
        <v>East</v>
      </c>
      <c r="I214" s="6">
        <f>Table1[[#This Row],[Sales]]*Table1[[#This Row],[Quantity]]</f>
        <v>496220</v>
      </c>
    </row>
    <row r="215" spans="1:9" x14ac:dyDescent="0.35">
      <c r="A215" t="s">
        <v>225</v>
      </c>
      <c r="B215" s="1">
        <v>45110</v>
      </c>
      <c r="C215" t="s">
        <v>18</v>
      </c>
      <c r="D215" t="s">
        <v>31</v>
      </c>
      <c r="E215" s="6">
        <v>4732</v>
      </c>
      <c r="F215">
        <v>6</v>
      </c>
      <c r="G215" t="str">
        <f>PROPER(TRIM(Table1[[#This Row],[Product]]))</f>
        <v>Monitor</v>
      </c>
      <c r="H215" t="str">
        <f>PROPER(TRIM(Table1[[#This Row],[Region]]))</f>
        <v>East</v>
      </c>
      <c r="I215" s="6">
        <f>Table1[[#This Row],[Sales]]*Table1[[#This Row],[Quantity]]</f>
        <v>28392</v>
      </c>
    </row>
    <row r="216" spans="1:9" x14ac:dyDescent="0.35">
      <c r="A216" t="s">
        <v>226</v>
      </c>
      <c r="B216" s="1">
        <v>45290</v>
      </c>
      <c r="C216" t="s">
        <v>33</v>
      </c>
      <c r="D216" t="s">
        <v>13</v>
      </c>
      <c r="E216" s="6">
        <v>301</v>
      </c>
      <c r="F216">
        <v>3</v>
      </c>
      <c r="G216" t="str">
        <f>PROPER(TRIM(Table1[[#This Row],[Product]]))</f>
        <v>Laptop</v>
      </c>
      <c r="H216" t="str">
        <f>PROPER(TRIM(Table1[[#This Row],[Region]]))</f>
        <v>South</v>
      </c>
      <c r="I216" s="6">
        <f>Table1[[#This Row],[Sales]]*Table1[[#This Row],[Quantity]]</f>
        <v>903</v>
      </c>
    </row>
    <row r="217" spans="1:9" x14ac:dyDescent="0.35">
      <c r="A217" t="s">
        <v>227</v>
      </c>
      <c r="B217" s="1">
        <v>45116</v>
      </c>
      <c r="C217" t="s">
        <v>18</v>
      </c>
      <c r="D217" t="s">
        <v>28</v>
      </c>
      <c r="E217" s="6">
        <v>23780</v>
      </c>
      <c r="F217">
        <v>1</v>
      </c>
      <c r="G217" t="str">
        <f>PROPER(TRIM(Table1[[#This Row],[Product]]))</f>
        <v>Phone</v>
      </c>
      <c r="H217" t="str">
        <f>PROPER(TRIM(Table1[[#This Row],[Region]]))</f>
        <v>East</v>
      </c>
      <c r="I217" s="6">
        <f>Table1[[#This Row],[Sales]]*Table1[[#This Row],[Quantity]]</f>
        <v>23780</v>
      </c>
    </row>
    <row r="218" spans="1:9" x14ac:dyDescent="0.35">
      <c r="A218" t="s">
        <v>228</v>
      </c>
      <c r="B218" s="1">
        <v>45145</v>
      </c>
      <c r="C218" t="s">
        <v>33</v>
      </c>
      <c r="D218" t="s">
        <v>28</v>
      </c>
      <c r="E218" s="6">
        <v>778</v>
      </c>
      <c r="F218">
        <v>10</v>
      </c>
      <c r="G218" t="str">
        <f>PROPER(TRIM(Table1[[#This Row],[Product]]))</f>
        <v>Phone</v>
      </c>
      <c r="H218" t="str">
        <f>PROPER(TRIM(Table1[[#This Row],[Region]]))</f>
        <v>South</v>
      </c>
      <c r="I218" s="6">
        <f>Table1[[#This Row],[Sales]]*Table1[[#This Row],[Quantity]]</f>
        <v>7780</v>
      </c>
    </row>
    <row r="219" spans="1:9" x14ac:dyDescent="0.35">
      <c r="A219" t="s">
        <v>229</v>
      </c>
      <c r="B219" s="1">
        <v>44956</v>
      </c>
      <c r="C219" t="s">
        <v>8</v>
      </c>
      <c r="D219" t="s">
        <v>31</v>
      </c>
      <c r="E219" s="6">
        <v>20811</v>
      </c>
      <c r="F219">
        <v>5</v>
      </c>
      <c r="G219" t="str">
        <f>PROPER(TRIM(Table1[[#This Row],[Product]]))</f>
        <v>Monitor</v>
      </c>
      <c r="H219" t="str">
        <f>PROPER(TRIM(Table1[[#This Row],[Region]]))</f>
        <v>North</v>
      </c>
      <c r="I219" s="6">
        <f>Table1[[#This Row],[Sales]]*Table1[[#This Row],[Quantity]]</f>
        <v>104055</v>
      </c>
    </row>
    <row r="220" spans="1:9" x14ac:dyDescent="0.35">
      <c r="A220" t="s">
        <v>230</v>
      </c>
      <c r="B220" s="1">
        <v>45279</v>
      </c>
      <c r="C220" t="s">
        <v>33</v>
      </c>
      <c r="D220" t="s">
        <v>25</v>
      </c>
      <c r="E220" s="6">
        <v>29172</v>
      </c>
      <c r="F220">
        <v>1</v>
      </c>
      <c r="G220" t="str">
        <f>PROPER(TRIM(Table1[[#This Row],[Product]]))</f>
        <v>Tablet</v>
      </c>
      <c r="H220" t="str">
        <f>PROPER(TRIM(Table1[[#This Row],[Region]]))</f>
        <v>South</v>
      </c>
      <c r="I220" s="6">
        <f>Table1[[#This Row],[Sales]]*Table1[[#This Row],[Quantity]]</f>
        <v>29172</v>
      </c>
    </row>
    <row r="221" spans="1:9" x14ac:dyDescent="0.35">
      <c r="A221" t="s">
        <v>231</v>
      </c>
      <c r="B221" s="1">
        <v>45050</v>
      </c>
      <c r="C221" t="s">
        <v>30</v>
      </c>
      <c r="D221" t="s">
        <v>40</v>
      </c>
      <c r="E221" s="6">
        <v>31721</v>
      </c>
      <c r="F221">
        <v>8</v>
      </c>
      <c r="G221" t="str">
        <f>PROPER(TRIM(Table1[[#This Row],[Product]]))</f>
        <v>Headphones</v>
      </c>
      <c r="H221" t="str">
        <f>PROPER(TRIM(Table1[[#This Row],[Region]]))</f>
        <v>West</v>
      </c>
      <c r="I221" s="6">
        <f>Table1[[#This Row],[Sales]]*Table1[[#This Row],[Quantity]]</f>
        <v>253768</v>
      </c>
    </row>
    <row r="222" spans="1:9" x14ac:dyDescent="0.35">
      <c r="A222" t="s">
        <v>232</v>
      </c>
      <c r="B222" s="1">
        <v>45102</v>
      </c>
      <c r="C222" t="s">
        <v>8</v>
      </c>
      <c r="D222" t="s">
        <v>13</v>
      </c>
      <c r="E222" s="6">
        <v>5966</v>
      </c>
      <c r="F222">
        <v>6</v>
      </c>
      <c r="G222" t="str">
        <f>PROPER(TRIM(Table1[[#This Row],[Product]]))</f>
        <v>Laptop</v>
      </c>
      <c r="H222" t="str">
        <f>PROPER(TRIM(Table1[[#This Row],[Region]]))</f>
        <v>North</v>
      </c>
      <c r="I222" s="6">
        <f>Table1[[#This Row],[Sales]]*Table1[[#This Row],[Quantity]]</f>
        <v>35796</v>
      </c>
    </row>
    <row r="223" spans="1:9" x14ac:dyDescent="0.35">
      <c r="A223" t="s">
        <v>233</v>
      </c>
      <c r="B223" s="1">
        <v>44942</v>
      </c>
      <c r="C223" t="s">
        <v>18</v>
      </c>
      <c r="D223" t="s">
        <v>31</v>
      </c>
      <c r="E223" s="6">
        <v>32797</v>
      </c>
      <c r="F223">
        <v>8</v>
      </c>
      <c r="G223" t="str">
        <f>PROPER(TRIM(Table1[[#This Row],[Product]]))</f>
        <v>Monitor</v>
      </c>
      <c r="H223" t="str">
        <f>PROPER(TRIM(Table1[[#This Row],[Region]]))</f>
        <v>East</v>
      </c>
      <c r="I223" s="6">
        <f>Table1[[#This Row],[Sales]]*Table1[[#This Row],[Quantity]]</f>
        <v>262376</v>
      </c>
    </row>
    <row r="224" spans="1:9" x14ac:dyDescent="0.35">
      <c r="A224" t="s">
        <v>234</v>
      </c>
      <c r="B224" s="1">
        <v>45190</v>
      </c>
      <c r="C224" t="s">
        <v>8</v>
      </c>
      <c r="D224" t="s">
        <v>40</v>
      </c>
      <c r="E224" s="6">
        <v>13341</v>
      </c>
      <c r="F224">
        <v>6</v>
      </c>
      <c r="G224" t="str">
        <f>PROPER(TRIM(Table1[[#This Row],[Product]]))</f>
        <v>Headphones</v>
      </c>
      <c r="H224" t="str">
        <f>PROPER(TRIM(Table1[[#This Row],[Region]]))</f>
        <v>North</v>
      </c>
      <c r="I224" s="6">
        <f>Table1[[#This Row],[Sales]]*Table1[[#This Row],[Quantity]]</f>
        <v>80046</v>
      </c>
    </row>
    <row r="225" spans="1:9" x14ac:dyDescent="0.35">
      <c r="A225" t="s">
        <v>235</v>
      </c>
      <c r="B225" s="1">
        <v>45049</v>
      </c>
      <c r="C225" t="s">
        <v>18</v>
      </c>
      <c r="D225" t="s">
        <v>13</v>
      </c>
      <c r="E225" s="6">
        <v>26213</v>
      </c>
      <c r="F225">
        <v>5</v>
      </c>
      <c r="G225" t="str">
        <f>PROPER(TRIM(Table1[[#This Row],[Product]]))</f>
        <v>Laptop</v>
      </c>
      <c r="H225" t="str">
        <f>PROPER(TRIM(Table1[[#This Row],[Region]]))</f>
        <v>East</v>
      </c>
      <c r="I225" s="6">
        <f>Table1[[#This Row],[Sales]]*Table1[[#This Row],[Quantity]]</f>
        <v>131065</v>
      </c>
    </row>
    <row r="226" spans="1:9" x14ac:dyDescent="0.35">
      <c r="A226" t="s">
        <v>236</v>
      </c>
      <c r="B226" s="1">
        <v>45130</v>
      </c>
      <c r="C226" t="s">
        <v>30</v>
      </c>
      <c r="D226" t="s">
        <v>25</v>
      </c>
      <c r="E226" s="6">
        <v>40779</v>
      </c>
      <c r="F226">
        <v>9</v>
      </c>
      <c r="G226" t="str">
        <f>PROPER(TRIM(Table1[[#This Row],[Product]]))</f>
        <v>Tablet</v>
      </c>
      <c r="H226" t="str">
        <f>PROPER(TRIM(Table1[[#This Row],[Region]]))</f>
        <v>West</v>
      </c>
      <c r="I226" s="6">
        <f>Table1[[#This Row],[Sales]]*Table1[[#This Row],[Quantity]]</f>
        <v>367011</v>
      </c>
    </row>
    <row r="227" spans="1:9" x14ac:dyDescent="0.35">
      <c r="A227" t="s">
        <v>237</v>
      </c>
      <c r="B227" s="1">
        <v>44977</v>
      </c>
      <c r="C227" t="s">
        <v>33</v>
      </c>
      <c r="D227" t="s">
        <v>25</v>
      </c>
      <c r="E227" s="6">
        <v>7028</v>
      </c>
      <c r="F227">
        <v>9</v>
      </c>
      <c r="G227" t="str">
        <f>PROPER(TRIM(Table1[[#This Row],[Product]]))</f>
        <v>Tablet</v>
      </c>
      <c r="H227" t="str">
        <f>PROPER(TRIM(Table1[[#This Row],[Region]]))</f>
        <v>South</v>
      </c>
      <c r="I227" s="6">
        <f>Table1[[#This Row],[Sales]]*Table1[[#This Row],[Quantity]]</f>
        <v>63252</v>
      </c>
    </row>
    <row r="228" spans="1:9" x14ac:dyDescent="0.35">
      <c r="A228" t="s">
        <v>238</v>
      </c>
      <c r="B228" s="1">
        <v>45113</v>
      </c>
      <c r="C228" t="s">
        <v>8</v>
      </c>
      <c r="D228" t="s">
        <v>31</v>
      </c>
      <c r="E228" s="6">
        <v>49402</v>
      </c>
      <c r="F228">
        <v>3</v>
      </c>
      <c r="G228" t="str">
        <f>PROPER(TRIM(Table1[[#This Row],[Product]]))</f>
        <v>Monitor</v>
      </c>
      <c r="H228" t="str">
        <f>PROPER(TRIM(Table1[[#This Row],[Region]]))</f>
        <v>North</v>
      </c>
      <c r="I228" s="6">
        <f>Table1[[#This Row],[Sales]]*Table1[[#This Row],[Quantity]]</f>
        <v>148206</v>
      </c>
    </row>
    <row r="229" spans="1:9" x14ac:dyDescent="0.35">
      <c r="A229" t="s">
        <v>239</v>
      </c>
      <c r="B229" s="1">
        <v>45252</v>
      </c>
      <c r="C229" t="s">
        <v>33</v>
      </c>
      <c r="D229" t="s">
        <v>40</v>
      </c>
      <c r="E229" s="6">
        <v>33255</v>
      </c>
      <c r="F229">
        <v>6</v>
      </c>
      <c r="G229" t="str">
        <f>PROPER(TRIM(Table1[[#This Row],[Product]]))</f>
        <v>Headphones</v>
      </c>
      <c r="H229" t="str">
        <f>PROPER(TRIM(Table1[[#This Row],[Region]]))</f>
        <v>South</v>
      </c>
      <c r="I229" s="6">
        <f>Table1[[#This Row],[Sales]]*Table1[[#This Row],[Quantity]]</f>
        <v>199530</v>
      </c>
    </row>
    <row r="230" spans="1:9" x14ac:dyDescent="0.35">
      <c r="A230" t="s">
        <v>240</v>
      </c>
      <c r="B230" s="1">
        <v>45107</v>
      </c>
      <c r="C230" t="s">
        <v>33</v>
      </c>
      <c r="D230" t="s">
        <v>25</v>
      </c>
      <c r="E230" s="6">
        <v>36701</v>
      </c>
      <c r="F230">
        <v>5</v>
      </c>
      <c r="G230" t="str">
        <f>PROPER(TRIM(Table1[[#This Row],[Product]]))</f>
        <v>Tablet</v>
      </c>
      <c r="H230" t="str">
        <f>PROPER(TRIM(Table1[[#This Row],[Region]]))</f>
        <v>South</v>
      </c>
      <c r="I230" s="6">
        <f>Table1[[#This Row],[Sales]]*Table1[[#This Row],[Quantity]]</f>
        <v>183505</v>
      </c>
    </row>
    <row r="231" spans="1:9" x14ac:dyDescent="0.35">
      <c r="A231" t="s">
        <v>241</v>
      </c>
      <c r="B231" s="1">
        <v>44993</v>
      </c>
      <c r="C231" t="s">
        <v>30</v>
      </c>
      <c r="D231" t="s">
        <v>13</v>
      </c>
      <c r="E231" s="6">
        <v>34305</v>
      </c>
      <c r="F231">
        <v>8</v>
      </c>
      <c r="G231" t="str">
        <f>PROPER(TRIM(Table1[[#This Row],[Product]]))</f>
        <v>Laptop</v>
      </c>
      <c r="H231" t="str">
        <f>PROPER(TRIM(Table1[[#This Row],[Region]]))</f>
        <v>West</v>
      </c>
      <c r="I231" s="6">
        <f>Table1[[#This Row],[Sales]]*Table1[[#This Row],[Quantity]]</f>
        <v>274440</v>
      </c>
    </row>
    <row r="232" spans="1:9" x14ac:dyDescent="0.35">
      <c r="A232" t="s">
        <v>242</v>
      </c>
      <c r="B232" s="1">
        <v>44951</v>
      </c>
      <c r="C232" t="s">
        <v>30</v>
      </c>
      <c r="D232" t="s">
        <v>40</v>
      </c>
      <c r="E232" s="6">
        <v>13632</v>
      </c>
      <c r="F232">
        <v>1</v>
      </c>
      <c r="G232" t="str">
        <f>PROPER(TRIM(Table1[[#This Row],[Product]]))</f>
        <v>Headphones</v>
      </c>
      <c r="H232" t="str">
        <f>PROPER(TRIM(Table1[[#This Row],[Region]]))</f>
        <v>West</v>
      </c>
      <c r="I232" s="6">
        <f>Table1[[#This Row],[Sales]]*Table1[[#This Row],[Quantity]]</f>
        <v>13632</v>
      </c>
    </row>
    <row r="233" spans="1:9" x14ac:dyDescent="0.35">
      <c r="A233" t="s">
        <v>243</v>
      </c>
      <c r="B233" s="1">
        <v>44927</v>
      </c>
      <c r="C233" t="s">
        <v>30</v>
      </c>
      <c r="D233" t="s">
        <v>31</v>
      </c>
      <c r="E233" s="6">
        <v>8397</v>
      </c>
      <c r="F233">
        <v>7</v>
      </c>
      <c r="G233" t="str">
        <f>PROPER(TRIM(Table1[[#This Row],[Product]]))</f>
        <v>Monitor</v>
      </c>
      <c r="H233" t="str">
        <f>PROPER(TRIM(Table1[[#This Row],[Region]]))</f>
        <v>West</v>
      </c>
      <c r="I233" s="6">
        <f>Table1[[#This Row],[Sales]]*Table1[[#This Row],[Quantity]]</f>
        <v>58779</v>
      </c>
    </row>
    <row r="234" spans="1:9" x14ac:dyDescent="0.35">
      <c r="A234" t="s">
        <v>244</v>
      </c>
      <c r="B234" s="1">
        <v>45030</v>
      </c>
      <c r="C234" t="s">
        <v>33</v>
      </c>
      <c r="D234" t="s">
        <v>31</v>
      </c>
      <c r="E234" s="6">
        <v>36840</v>
      </c>
      <c r="F234">
        <v>5</v>
      </c>
      <c r="G234" t="str">
        <f>PROPER(TRIM(Table1[[#This Row],[Product]]))</f>
        <v>Monitor</v>
      </c>
      <c r="H234" t="str">
        <f>PROPER(TRIM(Table1[[#This Row],[Region]]))</f>
        <v>South</v>
      </c>
      <c r="I234" s="6">
        <f>Table1[[#This Row],[Sales]]*Table1[[#This Row],[Quantity]]</f>
        <v>184200</v>
      </c>
    </row>
    <row r="235" spans="1:9" x14ac:dyDescent="0.35">
      <c r="A235" t="s">
        <v>245</v>
      </c>
      <c r="B235" s="1">
        <v>45160</v>
      </c>
      <c r="C235" t="s">
        <v>33</v>
      </c>
      <c r="D235" t="s">
        <v>40</v>
      </c>
      <c r="E235" s="6">
        <v>14485</v>
      </c>
      <c r="F235">
        <v>8</v>
      </c>
      <c r="G235" t="str">
        <f>PROPER(TRIM(Table1[[#This Row],[Product]]))</f>
        <v>Headphones</v>
      </c>
      <c r="H235" t="str">
        <f>PROPER(TRIM(Table1[[#This Row],[Region]]))</f>
        <v>South</v>
      </c>
      <c r="I235" s="6">
        <f>Table1[[#This Row],[Sales]]*Table1[[#This Row],[Quantity]]</f>
        <v>115880</v>
      </c>
    </row>
    <row r="236" spans="1:9" x14ac:dyDescent="0.35">
      <c r="A236" t="s">
        <v>246</v>
      </c>
      <c r="B236" s="1">
        <v>44950</v>
      </c>
      <c r="C236" t="s">
        <v>18</v>
      </c>
      <c r="D236" t="s">
        <v>28</v>
      </c>
      <c r="E236" s="6">
        <v>26859</v>
      </c>
      <c r="F236">
        <v>3</v>
      </c>
      <c r="G236" t="str">
        <f>PROPER(TRIM(Table1[[#This Row],[Product]]))</f>
        <v>Phone</v>
      </c>
      <c r="H236" t="str">
        <f>PROPER(TRIM(Table1[[#This Row],[Region]]))</f>
        <v>East</v>
      </c>
      <c r="I236" s="6">
        <f>Table1[[#This Row],[Sales]]*Table1[[#This Row],[Quantity]]</f>
        <v>80577</v>
      </c>
    </row>
    <row r="237" spans="1:9" x14ac:dyDescent="0.35">
      <c r="A237" t="s">
        <v>247</v>
      </c>
      <c r="B237" s="1">
        <v>45270</v>
      </c>
      <c r="C237" t="s">
        <v>8</v>
      </c>
      <c r="D237" t="s">
        <v>40</v>
      </c>
      <c r="E237" s="6">
        <v>41412</v>
      </c>
      <c r="F237">
        <v>2</v>
      </c>
      <c r="G237" t="str">
        <f>PROPER(TRIM(Table1[[#This Row],[Product]]))</f>
        <v>Headphones</v>
      </c>
      <c r="H237" t="str">
        <f>PROPER(TRIM(Table1[[#This Row],[Region]]))</f>
        <v>North</v>
      </c>
      <c r="I237" s="6">
        <f>Table1[[#This Row],[Sales]]*Table1[[#This Row],[Quantity]]</f>
        <v>82824</v>
      </c>
    </row>
    <row r="238" spans="1:9" x14ac:dyDescent="0.35">
      <c r="A238" t="s">
        <v>247</v>
      </c>
      <c r="B238" s="1">
        <v>45270</v>
      </c>
      <c r="C238" t="s">
        <v>8</v>
      </c>
      <c r="D238" t="s">
        <v>40</v>
      </c>
      <c r="E238" s="6">
        <v>41412</v>
      </c>
      <c r="F238">
        <v>2</v>
      </c>
      <c r="G238" t="str">
        <f>PROPER(TRIM(Table1[[#This Row],[Product]]))</f>
        <v>Headphones</v>
      </c>
      <c r="H238" t="str">
        <f>PROPER(TRIM(Table1[[#This Row],[Region]]))</f>
        <v>North</v>
      </c>
      <c r="I238" s="6">
        <f>Table1[[#This Row],[Sales]]*Table1[[#This Row],[Quantity]]</f>
        <v>82824</v>
      </c>
    </row>
    <row r="239" spans="1:9" x14ac:dyDescent="0.35">
      <c r="A239" t="s">
        <v>248</v>
      </c>
      <c r="B239" s="1">
        <v>45066</v>
      </c>
      <c r="C239" t="s">
        <v>18</v>
      </c>
      <c r="D239" t="s">
        <v>28</v>
      </c>
      <c r="E239" s="6">
        <v>36176</v>
      </c>
      <c r="F239">
        <v>10</v>
      </c>
      <c r="G239" t="str">
        <f>PROPER(TRIM(Table1[[#This Row],[Product]]))</f>
        <v>Phone</v>
      </c>
      <c r="H239" t="str">
        <f>PROPER(TRIM(Table1[[#This Row],[Region]]))</f>
        <v>East</v>
      </c>
      <c r="I239" s="6">
        <f>Table1[[#This Row],[Sales]]*Table1[[#This Row],[Quantity]]</f>
        <v>361760</v>
      </c>
    </row>
    <row r="240" spans="1:9" x14ac:dyDescent="0.35">
      <c r="A240" t="s">
        <v>249</v>
      </c>
      <c r="B240" s="1">
        <v>45079</v>
      </c>
      <c r="C240" t="s">
        <v>8</v>
      </c>
      <c r="D240" t="s">
        <v>31</v>
      </c>
      <c r="E240" s="6">
        <v>26153</v>
      </c>
      <c r="F240">
        <v>1</v>
      </c>
      <c r="G240" t="str">
        <f>PROPER(TRIM(Table1[[#This Row],[Product]]))</f>
        <v>Monitor</v>
      </c>
      <c r="H240" t="str">
        <f>PROPER(TRIM(Table1[[#This Row],[Region]]))</f>
        <v>North</v>
      </c>
      <c r="I240" s="6">
        <f>Table1[[#This Row],[Sales]]*Table1[[#This Row],[Quantity]]</f>
        <v>26153</v>
      </c>
    </row>
    <row r="241" spans="1:9" x14ac:dyDescent="0.35">
      <c r="A241" t="s">
        <v>250</v>
      </c>
      <c r="B241" s="1">
        <v>45091</v>
      </c>
      <c r="C241" t="s">
        <v>18</v>
      </c>
      <c r="D241" t="s">
        <v>31</v>
      </c>
      <c r="E241" s="6">
        <v>16781</v>
      </c>
      <c r="F241">
        <v>4</v>
      </c>
      <c r="G241" t="str">
        <f>PROPER(TRIM(Table1[[#This Row],[Product]]))</f>
        <v>Monitor</v>
      </c>
      <c r="H241" t="str">
        <f>PROPER(TRIM(Table1[[#This Row],[Region]]))</f>
        <v>East</v>
      </c>
      <c r="I241" s="6">
        <f>Table1[[#This Row],[Sales]]*Table1[[#This Row],[Quantity]]</f>
        <v>67124</v>
      </c>
    </row>
    <row r="242" spans="1:9" x14ac:dyDescent="0.35">
      <c r="A242" t="s">
        <v>251</v>
      </c>
      <c r="B242" s="1">
        <v>45197</v>
      </c>
      <c r="C242" t="s">
        <v>33</v>
      </c>
      <c r="D242" t="s">
        <v>25</v>
      </c>
      <c r="E242" s="6">
        <v>24884</v>
      </c>
      <c r="F242">
        <v>2</v>
      </c>
      <c r="G242" t="str">
        <f>PROPER(TRIM(Table1[[#This Row],[Product]]))</f>
        <v>Tablet</v>
      </c>
      <c r="H242" t="str">
        <f>PROPER(TRIM(Table1[[#This Row],[Region]]))</f>
        <v>South</v>
      </c>
      <c r="I242" s="6">
        <f>Table1[[#This Row],[Sales]]*Table1[[#This Row],[Quantity]]</f>
        <v>49768</v>
      </c>
    </row>
    <row r="243" spans="1:9" x14ac:dyDescent="0.35">
      <c r="A243" t="s">
        <v>252</v>
      </c>
      <c r="B243" s="1">
        <v>45214</v>
      </c>
      <c r="C243" t="s">
        <v>8</v>
      </c>
      <c r="D243" t="s">
        <v>13</v>
      </c>
      <c r="E243" s="6">
        <v>28285</v>
      </c>
      <c r="F243">
        <v>7</v>
      </c>
      <c r="G243" t="str">
        <f>PROPER(TRIM(Table1[[#This Row],[Product]]))</f>
        <v>Laptop</v>
      </c>
      <c r="H243" t="str">
        <f>PROPER(TRIM(Table1[[#This Row],[Region]]))</f>
        <v>North</v>
      </c>
      <c r="I243" s="6">
        <f>Table1[[#This Row],[Sales]]*Table1[[#This Row],[Quantity]]</f>
        <v>197995</v>
      </c>
    </row>
    <row r="244" spans="1:9" x14ac:dyDescent="0.35">
      <c r="A244" t="s">
        <v>253</v>
      </c>
      <c r="B244" s="1">
        <v>45106</v>
      </c>
      <c r="C244" t="s">
        <v>30</v>
      </c>
      <c r="D244" t="s">
        <v>40</v>
      </c>
      <c r="E244" s="6">
        <v>18885</v>
      </c>
      <c r="F244">
        <v>8</v>
      </c>
      <c r="G244" t="str">
        <f>PROPER(TRIM(Table1[[#This Row],[Product]]))</f>
        <v>Headphones</v>
      </c>
      <c r="H244" t="str">
        <f>PROPER(TRIM(Table1[[#This Row],[Region]]))</f>
        <v>West</v>
      </c>
      <c r="I244" s="6">
        <f>Table1[[#This Row],[Sales]]*Table1[[#This Row],[Quantity]]</f>
        <v>151080</v>
      </c>
    </row>
    <row r="245" spans="1:9" x14ac:dyDescent="0.35">
      <c r="A245" t="s">
        <v>254</v>
      </c>
      <c r="B245" s="1">
        <v>44927</v>
      </c>
      <c r="C245" t="s">
        <v>18</v>
      </c>
      <c r="D245" t="s">
        <v>13</v>
      </c>
      <c r="E245" s="6">
        <v>19372</v>
      </c>
      <c r="F245">
        <v>8</v>
      </c>
      <c r="G245" t="str">
        <f>PROPER(TRIM(Table1[[#This Row],[Product]]))</f>
        <v>Laptop</v>
      </c>
      <c r="H245" t="str">
        <f>PROPER(TRIM(Table1[[#This Row],[Region]]))</f>
        <v>East</v>
      </c>
      <c r="I245" s="6">
        <f>Table1[[#This Row],[Sales]]*Table1[[#This Row],[Quantity]]</f>
        <v>154976</v>
      </c>
    </row>
    <row r="246" spans="1:9" x14ac:dyDescent="0.35">
      <c r="A246" t="s">
        <v>255</v>
      </c>
      <c r="B246" s="1">
        <v>45226</v>
      </c>
      <c r="C246" t="s">
        <v>18</v>
      </c>
      <c r="D246" t="s">
        <v>40</v>
      </c>
      <c r="E246" s="6">
        <v>16131</v>
      </c>
      <c r="F246">
        <v>10</v>
      </c>
      <c r="G246" t="str">
        <f>PROPER(TRIM(Table1[[#This Row],[Product]]))</f>
        <v>Headphones</v>
      </c>
      <c r="H246" t="str">
        <f>PROPER(TRIM(Table1[[#This Row],[Region]]))</f>
        <v>East</v>
      </c>
      <c r="I246" s="6">
        <f>Table1[[#This Row],[Sales]]*Table1[[#This Row],[Quantity]]</f>
        <v>161310</v>
      </c>
    </row>
    <row r="247" spans="1:9" x14ac:dyDescent="0.35">
      <c r="A247" t="s">
        <v>256</v>
      </c>
      <c r="B247" s="1">
        <v>44977</v>
      </c>
      <c r="C247" t="s">
        <v>30</v>
      </c>
      <c r="D247" t="s">
        <v>31</v>
      </c>
      <c r="E247" s="6">
        <v>2408</v>
      </c>
      <c r="F247">
        <v>2</v>
      </c>
      <c r="G247" t="str">
        <f>PROPER(TRIM(Table1[[#This Row],[Product]]))</f>
        <v>Monitor</v>
      </c>
      <c r="H247" t="str">
        <f>PROPER(TRIM(Table1[[#This Row],[Region]]))</f>
        <v>West</v>
      </c>
      <c r="I247" s="6">
        <f>Table1[[#This Row],[Sales]]*Table1[[#This Row],[Quantity]]</f>
        <v>4816</v>
      </c>
    </row>
    <row r="248" spans="1:9" x14ac:dyDescent="0.35">
      <c r="A248" t="s">
        <v>257</v>
      </c>
      <c r="B248" s="1">
        <v>45247</v>
      </c>
      <c r="C248" t="s">
        <v>33</v>
      </c>
      <c r="D248" t="s">
        <v>31</v>
      </c>
      <c r="E248" s="6">
        <v>37053</v>
      </c>
      <c r="F248">
        <v>3</v>
      </c>
      <c r="G248" t="str">
        <f>PROPER(TRIM(Table1[[#This Row],[Product]]))</f>
        <v>Monitor</v>
      </c>
      <c r="H248" t="str">
        <f>PROPER(TRIM(Table1[[#This Row],[Region]]))</f>
        <v>South</v>
      </c>
      <c r="I248" s="6">
        <f>Table1[[#This Row],[Sales]]*Table1[[#This Row],[Quantity]]</f>
        <v>111159</v>
      </c>
    </row>
    <row r="249" spans="1:9" x14ac:dyDescent="0.35">
      <c r="A249" t="s">
        <v>258</v>
      </c>
      <c r="B249" s="1">
        <v>45183</v>
      </c>
      <c r="C249" t="s">
        <v>8</v>
      </c>
      <c r="D249" t="s">
        <v>28</v>
      </c>
      <c r="E249" s="6">
        <v>21922</v>
      </c>
      <c r="F249">
        <v>7</v>
      </c>
      <c r="G249" t="str">
        <f>PROPER(TRIM(Table1[[#This Row],[Product]]))</f>
        <v>Phone</v>
      </c>
      <c r="H249" t="str">
        <f>PROPER(TRIM(Table1[[#This Row],[Region]]))</f>
        <v>North</v>
      </c>
      <c r="I249" s="6">
        <f>Table1[[#This Row],[Sales]]*Table1[[#This Row],[Quantity]]</f>
        <v>153454</v>
      </c>
    </row>
    <row r="250" spans="1:9" x14ac:dyDescent="0.35">
      <c r="A250" t="s">
        <v>259</v>
      </c>
      <c r="B250" s="1">
        <v>44947</v>
      </c>
      <c r="C250" t="s">
        <v>33</v>
      </c>
      <c r="D250" t="s">
        <v>13</v>
      </c>
      <c r="E250" s="6">
        <v>11978</v>
      </c>
      <c r="F250">
        <v>2</v>
      </c>
      <c r="G250" t="str">
        <f>PROPER(TRIM(Table1[[#This Row],[Product]]))</f>
        <v>Laptop</v>
      </c>
      <c r="H250" t="str">
        <f>PROPER(TRIM(Table1[[#This Row],[Region]]))</f>
        <v>South</v>
      </c>
      <c r="I250" s="6">
        <f>Table1[[#This Row],[Sales]]*Table1[[#This Row],[Quantity]]</f>
        <v>23956</v>
      </c>
    </row>
    <row r="251" spans="1:9" x14ac:dyDescent="0.35">
      <c r="A251" t="s">
        <v>260</v>
      </c>
      <c r="B251" s="1">
        <v>45118</v>
      </c>
      <c r="C251" t="s">
        <v>33</v>
      </c>
      <c r="D251" t="s">
        <v>13</v>
      </c>
      <c r="E251" s="6">
        <v>43746</v>
      </c>
      <c r="F251">
        <v>4</v>
      </c>
      <c r="G251" t="str">
        <f>PROPER(TRIM(Table1[[#This Row],[Product]]))</f>
        <v>Laptop</v>
      </c>
      <c r="H251" t="str">
        <f>PROPER(TRIM(Table1[[#This Row],[Region]]))</f>
        <v>South</v>
      </c>
      <c r="I251" s="6">
        <f>Table1[[#This Row],[Sales]]*Table1[[#This Row],[Quantity]]</f>
        <v>174984</v>
      </c>
    </row>
    <row r="252" spans="1:9" x14ac:dyDescent="0.35">
      <c r="A252" t="s">
        <v>261</v>
      </c>
      <c r="B252" s="1">
        <v>45001</v>
      </c>
      <c r="C252" t="s">
        <v>30</v>
      </c>
      <c r="D252" t="s">
        <v>40</v>
      </c>
      <c r="E252" s="6">
        <v>36796</v>
      </c>
      <c r="F252">
        <v>6</v>
      </c>
      <c r="G252" t="str">
        <f>PROPER(TRIM(Table1[[#This Row],[Product]]))</f>
        <v>Headphones</v>
      </c>
      <c r="H252" t="str">
        <f>PROPER(TRIM(Table1[[#This Row],[Region]]))</f>
        <v>West</v>
      </c>
      <c r="I252" s="6">
        <f>Table1[[#This Row],[Sales]]*Table1[[#This Row],[Quantity]]</f>
        <v>220776</v>
      </c>
    </row>
    <row r="253" spans="1:9" x14ac:dyDescent="0.35">
      <c r="A253" t="s">
        <v>262</v>
      </c>
      <c r="B253" s="1">
        <v>45287</v>
      </c>
      <c r="C253" t="s">
        <v>30</v>
      </c>
      <c r="D253" t="s">
        <v>31</v>
      </c>
      <c r="E253" s="6">
        <v>20704</v>
      </c>
      <c r="F253">
        <v>3</v>
      </c>
      <c r="G253" t="str">
        <f>PROPER(TRIM(Table1[[#This Row],[Product]]))</f>
        <v>Monitor</v>
      </c>
      <c r="H253" t="str">
        <f>PROPER(TRIM(Table1[[#This Row],[Region]]))</f>
        <v>West</v>
      </c>
      <c r="I253" s="6">
        <f>Table1[[#This Row],[Sales]]*Table1[[#This Row],[Quantity]]</f>
        <v>62112</v>
      </c>
    </row>
    <row r="254" spans="1:9" x14ac:dyDescent="0.35">
      <c r="A254" t="s">
        <v>263</v>
      </c>
      <c r="B254" s="1">
        <v>45030</v>
      </c>
      <c r="C254" t="s">
        <v>18</v>
      </c>
      <c r="D254" t="s">
        <v>40</v>
      </c>
      <c r="E254" s="6">
        <v>6824</v>
      </c>
      <c r="F254">
        <v>10</v>
      </c>
      <c r="G254" t="str">
        <f>PROPER(TRIM(Table1[[#This Row],[Product]]))</f>
        <v>Headphones</v>
      </c>
      <c r="H254" t="str">
        <f>PROPER(TRIM(Table1[[#This Row],[Region]]))</f>
        <v>East</v>
      </c>
      <c r="I254" s="6">
        <f>Table1[[#This Row],[Sales]]*Table1[[#This Row],[Quantity]]</f>
        <v>68240</v>
      </c>
    </row>
    <row r="255" spans="1:9" x14ac:dyDescent="0.35">
      <c r="A255" t="s">
        <v>264</v>
      </c>
      <c r="B255" s="1">
        <v>45117</v>
      </c>
      <c r="C255" t="s">
        <v>8</v>
      </c>
      <c r="D255" t="s">
        <v>28</v>
      </c>
      <c r="E255" s="6">
        <v>8221</v>
      </c>
      <c r="F255">
        <v>7</v>
      </c>
      <c r="G255" t="str">
        <f>PROPER(TRIM(Table1[[#This Row],[Product]]))</f>
        <v>Phone</v>
      </c>
      <c r="H255" t="str">
        <f>PROPER(TRIM(Table1[[#This Row],[Region]]))</f>
        <v>North</v>
      </c>
      <c r="I255" s="6">
        <f>Table1[[#This Row],[Sales]]*Table1[[#This Row],[Quantity]]</f>
        <v>57547</v>
      </c>
    </row>
    <row r="256" spans="1:9" x14ac:dyDescent="0.35">
      <c r="A256" t="s">
        <v>265</v>
      </c>
      <c r="B256" s="1">
        <v>45101</v>
      </c>
      <c r="C256" t="s">
        <v>33</v>
      </c>
      <c r="D256" t="s">
        <v>13</v>
      </c>
      <c r="E256" s="6">
        <v>27234</v>
      </c>
      <c r="F256">
        <v>2</v>
      </c>
      <c r="G256" t="str">
        <f>PROPER(TRIM(Table1[[#This Row],[Product]]))</f>
        <v>Laptop</v>
      </c>
      <c r="H256" t="str">
        <f>PROPER(TRIM(Table1[[#This Row],[Region]]))</f>
        <v>South</v>
      </c>
      <c r="I256" s="6">
        <f>Table1[[#This Row],[Sales]]*Table1[[#This Row],[Quantity]]</f>
        <v>54468</v>
      </c>
    </row>
    <row r="257" spans="1:9" x14ac:dyDescent="0.35">
      <c r="A257" t="s">
        <v>266</v>
      </c>
      <c r="B257" s="1">
        <v>45185</v>
      </c>
      <c r="C257" t="s">
        <v>8</v>
      </c>
      <c r="D257" t="s">
        <v>28</v>
      </c>
      <c r="E257" s="6">
        <v>34546</v>
      </c>
      <c r="F257">
        <v>10</v>
      </c>
      <c r="G257" t="str">
        <f>PROPER(TRIM(Table1[[#This Row],[Product]]))</f>
        <v>Phone</v>
      </c>
      <c r="H257" t="str">
        <f>PROPER(TRIM(Table1[[#This Row],[Region]]))</f>
        <v>North</v>
      </c>
      <c r="I257" s="6">
        <f>Table1[[#This Row],[Sales]]*Table1[[#This Row],[Quantity]]</f>
        <v>345460</v>
      </c>
    </row>
    <row r="258" spans="1:9" x14ac:dyDescent="0.35">
      <c r="A258" t="s">
        <v>267</v>
      </c>
      <c r="B258" s="1">
        <v>45140</v>
      </c>
      <c r="C258" t="s">
        <v>18</v>
      </c>
      <c r="D258" t="s">
        <v>40</v>
      </c>
      <c r="E258" s="6">
        <v>6754</v>
      </c>
      <c r="F258">
        <v>4</v>
      </c>
      <c r="G258" t="str">
        <f>PROPER(TRIM(Table1[[#This Row],[Product]]))</f>
        <v>Headphones</v>
      </c>
      <c r="H258" t="str">
        <f>PROPER(TRIM(Table1[[#This Row],[Region]]))</f>
        <v>East</v>
      </c>
      <c r="I258" s="6">
        <f>Table1[[#This Row],[Sales]]*Table1[[#This Row],[Quantity]]</f>
        <v>27016</v>
      </c>
    </row>
    <row r="259" spans="1:9" x14ac:dyDescent="0.35">
      <c r="A259" t="s">
        <v>268</v>
      </c>
      <c r="B259" s="1">
        <v>45241</v>
      </c>
      <c r="C259" t="s">
        <v>30</v>
      </c>
      <c r="D259" t="s">
        <v>31</v>
      </c>
      <c r="E259" s="6">
        <v>18061</v>
      </c>
      <c r="F259">
        <v>9</v>
      </c>
      <c r="G259" t="str">
        <f>PROPER(TRIM(Table1[[#This Row],[Product]]))</f>
        <v>Monitor</v>
      </c>
      <c r="H259" t="str">
        <f>PROPER(TRIM(Table1[[#This Row],[Region]]))</f>
        <v>West</v>
      </c>
      <c r="I259" s="6">
        <f>Table1[[#This Row],[Sales]]*Table1[[#This Row],[Quantity]]</f>
        <v>162549</v>
      </c>
    </row>
    <row r="260" spans="1:9" x14ac:dyDescent="0.35">
      <c r="A260" t="s">
        <v>269</v>
      </c>
      <c r="B260" s="1">
        <v>44939</v>
      </c>
      <c r="C260" t="s">
        <v>8</v>
      </c>
      <c r="D260" t="s">
        <v>40</v>
      </c>
      <c r="E260" s="6">
        <v>17893</v>
      </c>
      <c r="F260">
        <v>3</v>
      </c>
      <c r="G260" t="str">
        <f>PROPER(TRIM(Table1[[#This Row],[Product]]))</f>
        <v>Headphones</v>
      </c>
      <c r="H260" t="str">
        <f>PROPER(TRIM(Table1[[#This Row],[Region]]))</f>
        <v>North</v>
      </c>
      <c r="I260" s="6">
        <f>Table1[[#This Row],[Sales]]*Table1[[#This Row],[Quantity]]</f>
        <v>53679</v>
      </c>
    </row>
    <row r="261" spans="1:9" x14ac:dyDescent="0.35">
      <c r="A261" t="s">
        <v>270</v>
      </c>
      <c r="B261" s="1">
        <v>44968</v>
      </c>
      <c r="C261" t="s">
        <v>33</v>
      </c>
      <c r="D261" t="s">
        <v>28</v>
      </c>
      <c r="E261" s="6">
        <v>35941</v>
      </c>
      <c r="F261">
        <v>1</v>
      </c>
      <c r="G261" t="str">
        <f>PROPER(TRIM(Table1[[#This Row],[Product]]))</f>
        <v>Phone</v>
      </c>
      <c r="H261" t="str">
        <f>PROPER(TRIM(Table1[[#This Row],[Region]]))</f>
        <v>South</v>
      </c>
      <c r="I261" s="6">
        <f>Table1[[#This Row],[Sales]]*Table1[[#This Row],[Quantity]]</f>
        <v>35941</v>
      </c>
    </row>
    <row r="262" spans="1:9" x14ac:dyDescent="0.35">
      <c r="A262" t="s">
        <v>271</v>
      </c>
      <c r="B262" s="1">
        <v>45153</v>
      </c>
      <c r="C262" t="s">
        <v>18</v>
      </c>
      <c r="D262" t="s">
        <v>31</v>
      </c>
      <c r="E262" s="6">
        <v>34054</v>
      </c>
      <c r="F262">
        <v>8</v>
      </c>
      <c r="G262" t="str">
        <f>PROPER(TRIM(Table1[[#This Row],[Product]]))</f>
        <v>Monitor</v>
      </c>
      <c r="H262" t="str">
        <f>PROPER(TRIM(Table1[[#This Row],[Region]]))</f>
        <v>East</v>
      </c>
      <c r="I262" s="6">
        <f>Table1[[#This Row],[Sales]]*Table1[[#This Row],[Quantity]]</f>
        <v>272432</v>
      </c>
    </row>
    <row r="263" spans="1:9" x14ac:dyDescent="0.35">
      <c r="A263" t="s">
        <v>272</v>
      </c>
      <c r="B263" s="1">
        <v>45017</v>
      </c>
      <c r="C263" t="s">
        <v>33</v>
      </c>
      <c r="D263" t="s">
        <v>28</v>
      </c>
      <c r="E263" s="6">
        <v>15610</v>
      </c>
      <c r="F263">
        <v>2</v>
      </c>
      <c r="G263" t="str">
        <f>PROPER(TRIM(Table1[[#This Row],[Product]]))</f>
        <v>Phone</v>
      </c>
      <c r="H263" t="str">
        <f>PROPER(TRIM(Table1[[#This Row],[Region]]))</f>
        <v>South</v>
      </c>
      <c r="I263" s="6">
        <f>Table1[[#This Row],[Sales]]*Table1[[#This Row],[Quantity]]</f>
        <v>31220</v>
      </c>
    </row>
    <row r="264" spans="1:9" x14ac:dyDescent="0.35">
      <c r="A264" t="s">
        <v>273</v>
      </c>
      <c r="B264" s="1">
        <v>45196</v>
      </c>
      <c r="C264" t="s">
        <v>33</v>
      </c>
      <c r="D264" t="s">
        <v>28</v>
      </c>
      <c r="E264" s="6">
        <v>24562</v>
      </c>
      <c r="F264">
        <v>10</v>
      </c>
      <c r="G264" t="str">
        <f>PROPER(TRIM(Table1[[#This Row],[Product]]))</f>
        <v>Phone</v>
      </c>
      <c r="H264" t="str">
        <f>PROPER(TRIM(Table1[[#This Row],[Region]]))</f>
        <v>South</v>
      </c>
      <c r="I264" s="6">
        <f>Table1[[#This Row],[Sales]]*Table1[[#This Row],[Quantity]]</f>
        <v>245620</v>
      </c>
    </row>
    <row r="265" spans="1:9" x14ac:dyDescent="0.35">
      <c r="A265" t="s">
        <v>274</v>
      </c>
      <c r="B265" s="1">
        <v>45190</v>
      </c>
      <c r="C265" t="s">
        <v>30</v>
      </c>
      <c r="D265" t="s">
        <v>31</v>
      </c>
      <c r="E265" s="6">
        <v>44574</v>
      </c>
      <c r="F265">
        <v>7</v>
      </c>
      <c r="G265" t="str">
        <f>PROPER(TRIM(Table1[[#This Row],[Product]]))</f>
        <v>Monitor</v>
      </c>
      <c r="H265" t="str">
        <f>PROPER(TRIM(Table1[[#This Row],[Region]]))</f>
        <v>West</v>
      </c>
      <c r="I265" s="6">
        <f>Table1[[#This Row],[Sales]]*Table1[[#This Row],[Quantity]]</f>
        <v>312018</v>
      </c>
    </row>
    <row r="266" spans="1:9" x14ac:dyDescent="0.35">
      <c r="A266" t="s">
        <v>275</v>
      </c>
      <c r="B266" s="1">
        <v>45110</v>
      </c>
      <c r="C266" t="s">
        <v>33</v>
      </c>
      <c r="D266" t="s">
        <v>13</v>
      </c>
      <c r="E266" s="6">
        <v>44667</v>
      </c>
      <c r="F266">
        <v>8</v>
      </c>
      <c r="G266" t="str">
        <f>PROPER(TRIM(Table1[[#This Row],[Product]]))</f>
        <v>Laptop</v>
      </c>
      <c r="H266" t="str">
        <f>PROPER(TRIM(Table1[[#This Row],[Region]]))</f>
        <v>South</v>
      </c>
      <c r="I266" s="6">
        <f>Table1[[#This Row],[Sales]]*Table1[[#This Row],[Quantity]]</f>
        <v>357336</v>
      </c>
    </row>
    <row r="267" spans="1:9" x14ac:dyDescent="0.35">
      <c r="A267" t="s">
        <v>276</v>
      </c>
      <c r="B267" s="1">
        <v>44985</v>
      </c>
      <c r="C267" t="s">
        <v>33</v>
      </c>
      <c r="D267" t="s">
        <v>31</v>
      </c>
      <c r="E267" s="6">
        <v>2359</v>
      </c>
      <c r="F267">
        <v>1</v>
      </c>
      <c r="G267" t="str">
        <f>PROPER(TRIM(Table1[[#This Row],[Product]]))</f>
        <v>Monitor</v>
      </c>
      <c r="H267" t="str">
        <f>PROPER(TRIM(Table1[[#This Row],[Region]]))</f>
        <v>South</v>
      </c>
      <c r="I267" s="6">
        <f>Table1[[#This Row],[Sales]]*Table1[[#This Row],[Quantity]]</f>
        <v>2359</v>
      </c>
    </row>
    <row r="268" spans="1:9" x14ac:dyDescent="0.35">
      <c r="A268" t="s">
        <v>277</v>
      </c>
      <c r="B268" s="1">
        <v>45016</v>
      </c>
      <c r="C268" t="s">
        <v>18</v>
      </c>
      <c r="D268" t="s">
        <v>25</v>
      </c>
      <c r="E268" s="6">
        <v>43963</v>
      </c>
      <c r="F268">
        <v>3</v>
      </c>
      <c r="G268" t="str">
        <f>PROPER(TRIM(Table1[[#This Row],[Product]]))</f>
        <v>Tablet</v>
      </c>
      <c r="H268" t="str">
        <f>PROPER(TRIM(Table1[[#This Row],[Region]]))</f>
        <v>East</v>
      </c>
      <c r="I268" s="6">
        <f>Table1[[#This Row],[Sales]]*Table1[[#This Row],[Quantity]]</f>
        <v>131889</v>
      </c>
    </row>
    <row r="269" spans="1:9" x14ac:dyDescent="0.35">
      <c r="A269" t="s">
        <v>278</v>
      </c>
      <c r="B269" s="1">
        <v>45108</v>
      </c>
      <c r="C269" t="s">
        <v>18</v>
      </c>
      <c r="D269" t="s">
        <v>40</v>
      </c>
      <c r="E269" s="6">
        <v>41589</v>
      </c>
      <c r="F269">
        <v>3</v>
      </c>
      <c r="G269" t="str">
        <f>PROPER(TRIM(Table1[[#This Row],[Product]]))</f>
        <v>Headphones</v>
      </c>
      <c r="H269" t="str">
        <f>PROPER(TRIM(Table1[[#This Row],[Region]]))</f>
        <v>East</v>
      </c>
      <c r="I269" s="6">
        <f>Table1[[#This Row],[Sales]]*Table1[[#This Row],[Quantity]]</f>
        <v>124767</v>
      </c>
    </row>
    <row r="270" spans="1:9" x14ac:dyDescent="0.35">
      <c r="A270" t="s">
        <v>279</v>
      </c>
      <c r="B270" s="1">
        <v>45168</v>
      </c>
      <c r="C270" t="s">
        <v>30</v>
      </c>
      <c r="D270" t="s">
        <v>13</v>
      </c>
      <c r="E270" s="6">
        <v>42057</v>
      </c>
      <c r="F270">
        <v>9</v>
      </c>
      <c r="G270" t="str">
        <f>PROPER(TRIM(Table1[[#This Row],[Product]]))</f>
        <v>Laptop</v>
      </c>
      <c r="H270" t="str">
        <f>PROPER(TRIM(Table1[[#This Row],[Region]]))</f>
        <v>West</v>
      </c>
      <c r="I270" s="6">
        <f>Table1[[#This Row],[Sales]]*Table1[[#This Row],[Quantity]]</f>
        <v>378513</v>
      </c>
    </row>
    <row r="271" spans="1:9" x14ac:dyDescent="0.35">
      <c r="A271" t="s">
        <v>280</v>
      </c>
      <c r="B271" s="1">
        <v>45140</v>
      </c>
      <c r="C271" t="s">
        <v>33</v>
      </c>
      <c r="D271" t="s">
        <v>25</v>
      </c>
      <c r="E271" s="6">
        <v>6246</v>
      </c>
      <c r="F271">
        <v>10</v>
      </c>
      <c r="G271" t="str">
        <f>PROPER(TRIM(Table1[[#This Row],[Product]]))</f>
        <v>Tablet</v>
      </c>
      <c r="H271" t="str">
        <f>PROPER(TRIM(Table1[[#This Row],[Region]]))</f>
        <v>South</v>
      </c>
      <c r="I271" s="6">
        <f>Table1[[#This Row],[Sales]]*Table1[[#This Row],[Quantity]]</f>
        <v>62460</v>
      </c>
    </row>
    <row r="272" spans="1:9" x14ac:dyDescent="0.35">
      <c r="A272" t="s">
        <v>281</v>
      </c>
      <c r="B272" s="1">
        <v>45249</v>
      </c>
      <c r="C272" t="s">
        <v>8</v>
      </c>
      <c r="D272" t="s">
        <v>28</v>
      </c>
      <c r="E272" s="6">
        <v>18576</v>
      </c>
      <c r="F272">
        <v>9</v>
      </c>
      <c r="G272" t="str">
        <f>PROPER(TRIM(Table1[[#This Row],[Product]]))</f>
        <v>Phone</v>
      </c>
      <c r="H272" t="str">
        <f>PROPER(TRIM(Table1[[#This Row],[Region]]))</f>
        <v>North</v>
      </c>
      <c r="I272" s="6">
        <f>Table1[[#This Row],[Sales]]*Table1[[#This Row],[Quantity]]</f>
        <v>167184</v>
      </c>
    </row>
    <row r="273" spans="1:9" x14ac:dyDescent="0.35">
      <c r="A273" t="s">
        <v>282</v>
      </c>
      <c r="B273" s="1">
        <v>45069</v>
      </c>
      <c r="C273" t="s">
        <v>30</v>
      </c>
      <c r="D273" t="s">
        <v>31</v>
      </c>
      <c r="E273" s="6">
        <v>47066</v>
      </c>
      <c r="F273">
        <v>2</v>
      </c>
      <c r="G273" t="str">
        <f>PROPER(TRIM(Table1[[#This Row],[Product]]))</f>
        <v>Monitor</v>
      </c>
      <c r="H273" t="str">
        <f>PROPER(TRIM(Table1[[#This Row],[Region]]))</f>
        <v>West</v>
      </c>
      <c r="I273" s="6">
        <f>Table1[[#This Row],[Sales]]*Table1[[#This Row],[Quantity]]</f>
        <v>94132</v>
      </c>
    </row>
    <row r="274" spans="1:9" x14ac:dyDescent="0.35">
      <c r="A274" t="s">
        <v>283</v>
      </c>
      <c r="B274" s="1">
        <v>44946</v>
      </c>
      <c r="C274" t="s">
        <v>33</v>
      </c>
      <c r="D274" t="s">
        <v>40</v>
      </c>
      <c r="E274" s="6">
        <v>43898</v>
      </c>
      <c r="F274">
        <v>4</v>
      </c>
      <c r="G274" t="str">
        <f>PROPER(TRIM(Table1[[#This Row],[Product]]))</f>
        <v>Headphones</v>
      </c>
      <c r="H274" t="str">
        <f>PROPER(TRIM(Table1[[#This Row],[Region]]))</f>
        <v>South</v>
      </c>
      <c r="I274" s="6">
        <f>Table1[[#This Row],[Sales]]*Table1[[#This Row],[Quantity]]</f>
        <v>175592</v>
      </c>
    </row>
    <row r="275" spans="1:9" x14ac:dyDescent="0.35">
      <c r="A275" t="s">
        <v>284</v>
      </c>
      <c r="B275" s="1">
        <v>45289</v>
      </c>
      <c r="C275" t="s">
        <v>18</v>
      </c>
      <c r="D275" t="s">
        <v>40</v>
      </c>
      <c r="E275" s="6">
        <v>10021</v>
      </c>
      <c r="F275">
        <v>3</v>
      </c>
      <c r="G275" t="str">
        <f>PROPER(TRIM(Table1[[#This Row],[Product]]))</f>
        <v>Headphones</v>
      </c>
      <c r="H275" t="str">
        <f>PROPER(TRIM(Table1[[#This Row],[Region]]))</f>
        <v>East</v>
      </c>
      <c r="I275" s="6">
        <f>Table1[[#This Row],[Sales]]*Table1[[#This Row],[Quantity]]</f>
        <v>30063</v>
      </c>
    </row>
    <row r="276" spans="1:9" x14ac:dyDescent="0.35">
      <c r="A276" t="s">
        <v>285</v>
      </c>
      <c r="B276" s="1">
        <v>45197</v>
      </c>
      <c r="C276" t="s">
        <v>18</v>
      </c>
      <c r="D276" t="s">
        <v>31</v>
      </c>
      <c r="E276" s="6">
        <v>7684</v>
      </c>
      <c r="F276">
        <v>1</v>
      </c>
      <c r="G276" t="str">
        <f>PROPER(TRIM(Table1[[#This Row],[Product]]))</f>
        <v>Monitor</v>
      </c>
      <c r="H276" t="str">
        <f>PROPER(TRIM(Table1[[#This Row],[Region]]))</f>
        <v>East</v>
      </c>
      <c r="I276" s="6">
        <f>Table1[[#This Row],[Sales]]*Table1[[#This Row],[Quantity]]</f>
        <v>7684</v>
      </c>
    </row>
    <row r="277" spans="1:9" x14ac:dyDescent="0.35">
      <c r="A277" t="s">
        <v>286</v>
      </c>
      <c r="B277" s="1">
        <v>45202</v>
      </c>
      <c r="C277" t="s">
        <v>8</v>
      </c>
      <c r="D277" t="s">
        <v>31</v>
      </c>
      <c r="E277" s="6">
        <v>9349</v>
      </c>
      <c r="F277">
        <v>5</v>
      </c>
      <c r="G277" t="str">
        <f>PROPER(TRIM(Table1[[#This Row],[Product]]))</f>
        <v>Monitor</v>
      </c>
      <c r="H277" t="str">
        <f>PROPER(TRIM(Table1[[#This Row],[Region]]))</f>
        <v>North</v>
      </c>
      <c r="I277" s="6">
        <f>Table1[[#This Row],[Sales]]*Table1[[#This Row],[Quantity]]</f>
        <v>46745</v>
      </c>
    </row>
    <row r="278" spans="1:9" x14ac:dyDescent="0.35">
      <c r="A278" t="s">
        <v>287</v>
      </c>
      <c r="B278" s="1">
        <v>45071</v>
      </c>
      <c r="C278" t="s">
        <v>18</v>
      </c>
      <c r="D278" t="s">
        <v>28</v>
      </c>
      <c r="E278" s="6">
        <v>4159</v>
      </c>
      <c r="F278">
        <v>1</v>
      </c>
      <c r="G278" t="str">
        <f>PROPER(TRIM(Table1[[#This Row],[Product]]))</f>
        <v>Phone</v>
      </c>
      <c r="H278" t="str">
        <f>PROPER(TRIM(Table1[[#This Row],[Region]]))</f>
        <v>East</v>
      </c>
      <c r="I278" s="6">
        <f>Table1[[#This Row],[Sales]]*Table1[[#This Row],[Quantity]]</f>
        <v>4159</v>
      </c>
    </row>
    <row r="279" spans="1:9" x14ac:dyDescent="0.35">
      <c r="A279" t="s">
        <v>288</v>
      </c>
      <c r="B279" s="1">
        <v>44997</v>
      </c>
      <c r="C279" t="s">
        <v>30</v>
      </c>
      <c r="D279" t="s">
        <v>40</v>
      </c>
      <c r="E279" s="6">
        <v>4892</v>
      </c>
      <c r="F279">
        <v>4</v>
      </c>
      <c r="G279" t="str">
        <f>PROPER(TRIM(Table1[[#This Row],[Product]]))</f>
        <v>Headphones</v>
      </c>
      <c r="H279" t="str">
        <f>PROPER(TRIM(Table1[[#This Row],[Region]]))</f>
        <v>West</v>
      </c>
      <c r="I279" s="6">
        <f>Table1[[#This Row],[Sales]]*Table1[[#This Row],[Quantity]]</f>
        <v>19568</v>
      </c>
    </row>
    <row r="280" spans="1:9" x14ac:dyDescent="0.35">
      <c r="A280" t="s">
        <v>289</v>
      </c>
      <c r="B280" s="1">
        <v>45280</v>
      </c>
      <c r="C280" t="s">
        <v>8</v>
      </c>
      <c r="D280" t="s">
        <v>28</v>
      </c>
      <c r="E280" s="6">
        <v>38797</v>
      </c>
      <c r="F280">
        <v>2</v>
      </c>
      <c r="G280" t="str">
        <f>PROPER(TRIM(Table1[[#This Row],[Product]]))</f>
        <v>Phone</v>
      </c>
      <c r="H280" t="str">
        <f>PROPER(TRIM(Table1[[#This Row],[Region]]))</f>
        <v>North</v>
      </c>
      <c r="I280" s="6">
        <f>Table1[[#This Row],[Sales]]*Table1[[#This Row],[Quantity]]</f>
        <v>77594</v>
      </c>
    </row>
    <row r="281" spans="1:9" x14ac:dyDescent="0.35">
      <c r="A281" t="s">
        <v>290</v>
      </c>
      <c r="B281" s="1">
        <v>45052</v>
      </c>
      <c r="C281" t="s">
        <v>30</v>
      </c>
      <c r="D281" t="s">
        <v>31</v>
      </c>
      <c r="E281" s="6">
        <v>15037</v>
      </c>
      <c r="F281">
        <v>4</v>
      </c>
      <c r="G281" t="str">
        <f>PROPER(TRIM(Table1[[#This Row],[Product]]))</f>
        <v>Monitor</v>
      </c>
      <c r="H281" t="str">
        <f>PROPER(TRIM(Table1[[#This Row],[Region]]))</f>
        <v>West</v>
      </c>
      <c r="I281" s="6">
        <f>Table1[[#This Row],[Sales]]*Table1[[#This Row],[Quantity]]</f>
        <v>60148</v>
      </c>
    </row>
    <row r="282" spans="1:9" x14ac:dyDescent="0.35">
      <c r="A282" t="s">
        <v>291</v>
      </c>
      <c r="B282" s="1">
        <v>44958</v>
      </c>
      <c r="C282" t="s">
        <v>30</v>
      </c>
      <c r="D282" t="s">
        <v>31</v>
      </c>
      <c r="E282" s="6">
        <v>48536</v>
      </c>
      <c r="F282">
        <v>8</v>
      </c>
      <c r="G282" t="str">
        <f>PROPER(TRIM(Table1[[#This Row],[Product]]))</f>
        <v>Monitor</v>
      </c>
      <c r="H282" t="str">
        <f>PROPER(TRIM(Table1[[#This Row],[Region]]))</f>
        <v>West</v>
      </c>
      <c r="I282" s="6">
        <f>Table1[[#This Row],[Sales]]*Table1[[#This Row],[Quantity]]</f>
        <v>388288</v>
      </c>
    </row>
    <row r="283" spans="1:9" x14ac:dyDescent="0.35">
      <c r="A283" t="s">
        <v>292</v>
      </c>
      <c r="B283" s="1">
        <v>45273</v>
      </c>
      <c r="C283" t="s">
        <v>8</v>
      </c>
      <c r="D283" t="s">
        <v>40</v>
      </c>
      <c r="E283" s="6">
        <v>11977</v>
      </c>
      <c r="F283">
        <v>4</v>
      </c>
      <c r="G283" t="str">
        <f>PROPER(TRIM(Table1[[#This Row],[Product]]))</f>
        <v>Headphones</v>
      </c>
      <c r="H283" t="str">
        <f>PROPER(TRIM(Table1[[#This Row],[Region]]))</f>
        <v>North</v>
      </c>
      <c r="I283" s="6">
        <f>Table1[[#This Row],[Sales]]*Table1[[#This Row],[Quantity]]</f>
        <v>47908</v>
      </c>
    </row>
    <row r="284" spans="1:9" x14ac:dyDescent="0.35">
      <c r="A284" t="s">
        <v>293</v>
      </c>
      <c r="B284" s="1">
        <v>45134</v>
      </c>
      <c r="C284" t="s">
        <v>33</v>
      </c>
      <c r="D284" t="s">
        <v>13</v>
      </c>
      <c r="E284" s="6">
        <v>38943</v>
      </c>
      <c r="F284">
        <v>5</v>
      </c>
      <c r="G284" t="str">
        <f>PROPER(TRIM(Table1[[#This Row],[Product]]))</f>
        <v>Laptop</v>
      </c>
      <c r="H284" t="str">
        <f>PROPER(TRIM(Table1[[#This Row],[Region]]))</f>
        <v>South</v>
      </c>
      <c r="I284" s="6">
        <f>Table1[[#This Row],[Sales]]*Table1[[#This Row],[Quantity]]</f>
        <v>194715</v>
      </c>
    </row>
    <row r="285" spans="1:9" x14ac:dyDescent="0.35">
      <c r="A285" t="s">
        <v>294</v>
      </c>
      <c r="B285" s="1">
        <v>45272</v>
      </c>
      <c r="C285" t="s">
        <v>18</v>
      </c>
      <c r="D285" t="s">
        <v>25</v>
      </c>
      <c r="E285" s="6">
        <v>13840</v>
      </c>
      <c r="F285">
        <v>9</v>
      </c>
      <c r="G285" t="str">
        <f>PROPER(TRIM(Table1[[#This Row],[Product]]))</f>
        <v>Tablet</v>
      </c>
      <c r="H285" t="str">
        <f>PROPER(TRIM(Table1[[#This Row],[Region]]))</f>
        <v>East</v>
      </c>
      <c r="I285" s="6">
        <f>Table1[[#This Row],[Sales]]*Table1[[#This Row],[Quantity]]</f>
        <v>124560</v>
      </c>
    </row>
    <row r="286" spans="1:9" x14ac:dyDescent="0.35">
      <c r="A286" t="s">
        <v>295</v>
      </c>
      <c r="B286" s="1">
        <v>45115</v>
      </c>
      <c r="C286" t="s">
        <v>30</v>
      </c>
      <c r="D286" t="s">
        <v>31</v>
      </c>
      <c r="E286" s="6">
        <v>25966</v>
      </c>
      <c r="F286">
        <v>6</v>
      </c>
      <c r="G286" t="str">
        <f>PROPER(TRIM(Table1[[#This Row],[Product]]))</f>
        <v>Monitor</v>
      </c>
      <c r="H286" t="str">
        <f>PROPER(TRIM(Table1[[#This Row],[Region]]))</f>
        <v>West</v>
      </c>
      <c r="I286" s="6">
        <f>Table1[[#This Row],[Sales]]*Table1[[#This Row],[Quantity]]</f>
        <v>155796</v>
      </c>
    </row>
    <row r="287" spans="1:9" x14ac:dyDescent="0.35">
      <c r="A287" t="s">
        <v>296</v>
      </c>
      <c r="B287" s="1">
        <v>45137</v>
      </c>
      <c r="C287" t="s">
        <v>30</v>
      </c>
      <c r="D287" t="s">
        <v>31</v>
      </c>
      <c r="E287" s="6">
        <v>7693</v>
      </c>
      <c r="F287">
        <v>7</v>
      </c>
      <c r="G287" t="str">
        <f>PROPER(TRIM(Table1[[#This Row],[Product]]))</f>
        <v>Monitor</v>
      </c>
      <c r="H287" t="str">
        <f>PROPER(TRIM(Table1[[#This Row],[Region]]))</f>
        <v>West</v>
      </c>
      <c r="I287" s="6">
        <f>Table1[[#This Row],[Sales]]*Table1[[#This Row],[Quantity]]</f>
        <v>53851</v>
      </c>
    </row>
    <row r="288" spans="1:9" x14ac:dyDescent="0.35">
      <c r="A288" t="s">
        <v>296</v>
      </c>
      <c r="B288" s="1">
        <v>45137</v>
      </c>
      <c r="C288" t="s">
        <v>30</v>
      </c>
      <c r="D288" t="s">
        <v>31</v>
      </c>
      <c r="E288" s="6">
        <v>7693</v>
      </c>
      <c r="F288">
        <v>7</v>
      </c>
      <c r="G288" t="str">
        <f>PROPER(TRIM(Table1[[#This Row],[Product]]))</f>
        <v>Monitor</v>
      </c>
      <c r="H288" t="str">
        <f>PROPER(TRIM(Table1[[#This Row],[Region]]))</f>
        <v>West</v>
      </c>
      <c r="I288" s="6">
        <f>Table1[[#This Row],[Sales]]*Table1[[#This Row],[Quantity]]</f>
        <v>53851</v>
      </c>
    </row>
    <row r="289" spans="1:9" x14ac:dyDescent="0.35">
      <c r="A289" t="s">
        <v>297</v>
      </c>
      <c r="B289" s="1">
        <v>44959</v>
      </c>
      <c r="C289" t="s">
        <v>30</v>
      </c>
      <c r="D289" t="s">
        <v>13</v>
      </c>
      <c r="E289" s="6">
        <v>7794</v>
      </c>
      <c r="F289">
        <v>2</v>
      </c>
      <c r="G289" t="str">
        <f>PROPER(TRIM(Table1[[#This Row],[Product]]))</f>
        <v>Laptop</v>
      </c>
      <c r="H289" t="str">
        <f>PROPER(TRIM(Table1[[#This Row],[Region]]))</f>
        <v>West</v>
      </c>
      <c r="I289" s="6">
        <f>Table1[[#This Row],[Sales]]*Table1[[#This Row],[Quantity]]</f>
        <v>15588</v>
      </c>
    </row>
    <row r="290" spans="1:9" x14ac:dyDescent="0.35">
      <c r="A290" t="s">
        <v>298</v>
      </c>
      <c r="B290" s="1">
        <v>45074</v>
      </c>
      <c r="C290" t="s">
        <v>8</v>
      </c>
      <c r="D290" t="s">
        <v>31</v>
      </c>
      <c r="E290" s="6">
        <v>33451</v>
      </c>
      <c r="F290">
        <v>1</v>
      </c>
      <c r="G290" t="str">
        <f>PROPER(TRIM(Table1[[#This Row],[Product]]))</f>
        <v>Monitor</v>
      </c>
      <c r="H290" t="str">
        <f>PROPER(TRIM(Table1[[#This Row],[Region]]))</f>
        <v>North</v>
      </c>
      <c r="I290" s="6">
        <f>Table1[[#This Row],[Sales]]*Table1[[#This Row],[Quantity]]</f>
        <v>33451</v>
      </c>
    </row>
    <row r="291" spans="1:9" x14ac:dyDescent="0.35">
      <c r="A291" t="s">
        <v>299</v>
      </c>
      <c r="B291" s="1">
        <v>45185</v>
      </c>
      <c r="C291" t="s">
        <v>33</v>
      </c>
      <c r="D291" t="s">
        <v>28</v>
      </c>
      <c r="E291" s="6">
        <v>11246</v>
      </c>
      <c r="F291">
        <v>9</v>
      </c>
      <c r="G291" t="str">
        <f>PROPER(TRIM(Table1[[#This Row],[Product]]))</f>
        <v>Phone</v>
      </c>
      <c r="H291" t="str">
        <f>PROPER(TRIM(Table1[[#This Row],[Region]]))</f>
        <v>South</v>
      </c>
      <c r="I291" s="6">
        <f>Table1[[#This Row],[Sales]]*Table1[[#This Row],[Quantity]]</f>
        <v>101214</v>
      </c>
    </row>
    <row r="292" spans="1:9" x14ac:dyDescent="0.35">
      <c r="A292" t="s">
        <v>300</v>
      </c>
      <c r="B292" s="1">
        <v>44932</v>
      </c>
      <c r="C292" t="s">
        <v>8</v>
      </c>
      <c r="D292" t="s">
        <v>25</v>
      </c>
      <c r="E292" s="6">
        <v>33916</v>
      </c>
      <c r="F292">
        <v>5</v>
      </c>
      <c r="G292" t="str">
        <f>PROPER(TRIM(Table1[[#This Row],[Product]]))</f>
        <v>Tablet</v>
      </c>
      <c r="H292" t="str">
        <f>PROPER(TRIM(Table1[[#This Row],[Region]]))</f>
        <v>North</v>
      </c>
      <c r="I292" s="6">
        <f>Table1[[#This Row],[Sales]]*Table1[[#This Row],[Quantity]]</f>
        <v>169580</v>
      </c>
    </row>
    <row r="293" spans="1:9" x14ac:dyDescent="0.35">
      <c r="A293" t="s">
        <v>301</v>
      </c>
      <c r="B293" s="1">
        <v>45189</v>
      </c>
      <c r="C293" t="s">
        <v>18</v>
      </c>
      <c r="D293" t="s">
        <v>40</v>
      </c>
      <c r="E293" s="6">
        <v>41966</v>
      </c>
      <c r="F293">
        <v>1</v>
      </c>
      <c r="G293" t="str">
        <f>PROPER(TRIM(Table1[[#This Row],[Product]]))</f>
        <v>Headphones</v>
      </c>
      <c r="H293" t="str">
        <f>PROPER(TRIM(Table1[[#This Row],[Region]]))</f>
        <v>East</v>
      </c>
      <c r="I293" s="6">
        <f>Table1[[#This Row],[Sales]]*Table1[[#This Row],[Quantity]]</f>
        <v>41966</v>
      </c>
    </row>
    <row r="294" spans="1:9" x14ac:dyDescent="0.35">
      <c r="A294" t="s">
        <v>302</v>
      </c>
      <c r="B294" s="1">
        <v>44993</v>
      </c>
      <c r="C294" t="s">
        <v>8</v>
      </c>
      <c r="D294" t="s">
        <v>13</v>
      </c>
      <c r="E294" s="6">
        <v>26552</v>
      </c>
      <c r="F294">
        <v>8</v>
      </c>
      <c r="G294" t="str">
        <f>PROPER(TRIM(Table1[[#This Row],[Product]]))</f>
        <v>Laptop</v>
      </c>
      <c r="H294" t="str">
        <f>PROPER(TRIM(Table1[[#This Row],[Region]]))</f>
        <v>North</v>
      </c>
      <c r="I294" s="6">
        <f>Table1[[#This Row],[Sales]]*Table1[[#This Row],[Quantity]]</f>
        <v>212416</v>
      </c>
    </row>
    <row r="295" spans="1:9" x14ac:dyDescent="0.35">
      <c r="A295" t="s">
        <v>303</v>
      </c>
      <c r="B295" s="1">
        <v>44963</v>
      </c>
      <c r="C295" t="s">
        <v>30</v>
      </c>
      <c r="D295" t="s">
        <v>28</v>
      </c>
      <c r="E295" s="6">
        <v>42535</v>
      </c>
      <c r="F295">
        <v>3</v>
      </c>
      <c r="G295" t="str">
        <f>PROPER(TRIM(Table1[[#This Row],[Product]]))</f>
        <v>Phone</v>
      </c>
      <c r="H295" t="str">
        <f>PROPER(TRIM(Table1[[#This Row],[Region]]))</f>
        <v>West</v>
      </c>
      <c r="I295" s="6">
        <f>Table1[[#This Row],[Sales]]*Table1[[#This Row],[Quantity]]</f>
        <v>127605</v>
      </c>
    </row>
    <row r="296" spans="1:9" x14ac:dyDescent="0.35">
      <c r="A296" t="s">
        <v>304</v>
      </c>
      <c r="B296" s="1">
        <v>45131</v>
      </c>
      <c r="C296" t="s">
        <v>18</v>
      </c>
      <c r="D296" t="s">
        <v>31</v>
      </c>
      <c r="E296" s="6">
        <v>179</v>
      </c>
      <c r="F296">
        <v>2</v>
      </c>
      <c r="G296" t="str">
        <f>PROPER(TRIM(Table1[[#This Row],[Product]]))</f>
        <v>Monitor</v>
      </c>
      <c r="H296" t="str">
        <f>PROPER(TRIM(Table1[[#This Row],[Region]]))</f>
        <v>East</v>
      </c>
      <c r="I296" s="6">
        <f>Table1[[#This Row],[Sales]]*Table1[[#This Row],[Quantity]]</f>
        <v>358</v>
      </c>
    </row>
    <row r="297" spans="1:9" x14ac:dyDescent="0.35">
      <c r="A297" t="s">
        <v>305</v>
      </c>
      <c r="B297" s="1">
        <v>45022</v>
      </c>
      <c r="C297" t="s">
        <v>30</v>
      </c>
      <c r="D297" t="s">
        <v>13</v>
      </c>
      <c r="E297" s="6">
        <v>22833</v>
      </c>
      <c r="F297">
        <v>9</v>
      </c>
      <c r="G297" t="str">
        <f>PROPER(TRIM(Table1[[#This Row],[Product]]))</f>
        <v>Laptop</v>
      </c>
      <c r="H297" t="str">
        <f>PROPER(TRIM(Table1[[#This Row],[Region]]))</f>
        <v>West</v>
      </c>
      <c r="I297" s="6">
        <f>Table1[[#This Row],[Sales]]*Table1[[#This Row],[Quantity]]</f>
        <v>205497</v>
      </c>
    </row>
    <row r="298" spans="1:9" x14ac:dyDescent="0.35">
      <c r="A298" t="s">
        <v>306</v>
      </c>
      <c r="B298" s="1">
        <v>45109</v>
      </c>
      <c r="C298" t="s">
        <v>30</v>
      </c>
      <c r="D298" t="s">
        <v>13</v>
      </c>
      <c r="E298" s="6">
        <v>25122</v>
      </c>
      <c r="F298">
        <v>5</v>
      </c>
      <c r="G298" t="str">
        <f>PROPER(TRIM(Table1[[#This Row],[Product]]))</f>
        <v>Laptop</v>
      </c>
      <c r="H298" t="str">
        <f>PROPER(TRIM(Table1[[#This Row],[Region]]))</f>
        <v>West</v>
      </c>
      <c r="I298" s="6">
        <f>Table1[[#This Row],[Sales]]*Table1[[#This Row],[Quantity]]</f>
        <v>125610</v>
      </c>
    </row>
    <row r="299" spans="1:9" x14ac:dyDescent="0.35">
      <c r="A299" t="s">
        <v>307</v>
      </c>
      <c r="B299" s="1">
        <v>45102</v>
      </c>
      <c r="C299" t="s">
        <v>33</v>
      </c>
      <c r="D299" t="s">
        <v>13</v>
      </c>
      <c r="E299" s="6">
        <v>626</v>
      </c>
      <c r="F299">
        <v>5</v>
      </c>
      <c r="G299" t="str">
        <f>PROPER(TRIM(Table1[[#This Row],[Product]]))</f>
        <v>Laptop</v>
      </c>
      <c r="H299" t="str">
        <f>PROPER(TRIM(Table1[[#This Row],[Region]]))</f>
        <v>South</v>
      </c>
      <c r="I299" s="6">
        <f>Table1[[#This Row],[Sales]]*Table1[[#This Row],[Quantity]]</f>
        <v>3130</v>
      </c>
    </row>
    <row r="300" spans="1:9" x14ac:dyDescent="0.35">
      <c r="A300" t="s">
        <v>307</v>
      </c>
      <c r="B300" s="1">
        <v>45102</v>
      </c>
      <c r="C300" t="s">
        <v>33</v>
      </c>
      <c r="D300" t="s">
        <v>13</v>
      </c>
      <c r="E300" s="6">
        <v>626</v>
      </c>
      <c r="F300">
        <v>5</v>
      </c>
      <c r="G300" t="str">
        <f>PROPER(TRIM(Table1[[#This Row],[Product]]))</f>
        <v>Laptop</v>
      </c>
      <c r="H300" t="str">
        <f>PROPER(TRIM(Table1[[#This Row],[Region]]))</f>
        <v>South</v>
      </c>
      <c r="I300" s="6">
        <f>Table1[[#This Row],[Sales]]*Table1[[#This Row],[Quantity]]</f>
        <v>3130</v>
      </c>
    </row>
    <row r="301" spans="1:9" x14ac:dyDescent="0.35">
      <c r="A301" t="s">
        <v>308</v>
      </c>
      <c r="B301" s="1">
        <v>45065</v>
      </c>
      <c r="C301" t="s">
        <v>30</v>
      </c>
      <c r="D301" t="s">
        <v>25</v>
      </c>
      <c r="E301" s="6">
        <v>43659</v>
      </c>
      <c r="F301">
        <v>10</v>
      </c>
      <c r="G301" t="str">
        <f>PROPER(TRIM(Table1[[#This Row],[Product]]))</f>
        <v>Tablet</v>
      </c>
      <c r="H301" t="str">
        <f>PROPER(TRIM(Table1[[#This Row],[Region]]))</f>
        <v>West</v>
      </c>
      <c r="I301" s="6">
        <f>Table1[[#This Row],[Sales]]*Table1[[#This Row],[Quantity]]</f>
        <v>436590</v>
      </c>
    </row>
    <row r="302" spans="1:9" x14ac:dyDescent="0.35">
      <c r="A302" t="s">
        <v>309</v>
      </c>
      <c r="B302" s="1">
        <v>45265</v>
      </c>
      <c r="C302" t="s">
        <v>8</v>
      </c>
      <c r="D302" t="s">
        <v>13</v>
      </c>
      <c r="E302" s="6">
        <v>30717</v>
      </c>
      <c r="F302">
        <v>5</v>
      </c>
      <c r="G302" t="str">
        <f>PROPER(TRIM(Table1[[#This Row],[Product]]))</f>
        <v>Laptop</v>
      </c>
      <c r="H302" t="str">
        <f>PROPER(TRIM(Table1[[#This Row],[Region]]))</f>
        <v>North</v>
      </c>
      <c r="I302" s="6">
        <f>Table1[[#This Row],[Sales]]*Table1[[#This Row],[Quantity]]</f>
        <v>153585</v>
      </c>
    </row>
    <row r="303" spans="1:9" x14ac:dyDescent="0.35">
      <c r="A303" t="s">
        <v>310</v>
      </c>
      <c r="B303" s="1">
        <v>45096</v>
      </c>
      <c r="C303" t="s">
        <v>8</v>
      </c>
      <c r="D303" t="s">
        <v>13</v>
      </c>
      <c r="E303" s="6">
        <v>32306</v>
      </c>
      <c r="F303">
        <v>8</v>
      </c>
      <c r="G303" t="str">
        <f>PROPER(TRIM(Table1[[#This Row],[Product]]))</f>
        <v>Laptop</v>
      </c>
      <c r="H303" t="str">
        <f>PROPER(TRIM(Table1[[#This Row],[Region]]))</f>
        <v>North</v>
      </c>
      <c r="I303" s="6">
        <f>Table1[[#This Row],[Sales]]*Table1[[#This Row],[Quantity]]</f>
        <v>258448</v>
      </c>
    </row>
    <row r="304" spans="1:9" x14ac:dyDescent="0.35">
      <c r="A304" t="s">
        <v>311</v>
      </c>
      <c r="B304" s="1">
        <v>45032</v>
      </c>
      <c r="C304" t="s">
        <v>18</v>
      </c>
      <c r="D304" t="s">
        <v>40</v>
      </c>
      <c r="E304" s="6">
        <v>41561</v>
      </c>
      <c r="F304">
        <v>9</v>
      </c>
      <c r="G304" t="str">
        <f>PROPER(TRIM(Table1[[#This Row],[Product]]))</f>
        <v>Headphones</v>
      </c>
      <c r="H304" t="str">
        <f>PROPER(TRIM(Table1[[#This Row],[Region]]))</f>
        <v>East</v>
      </c>
      <c r="I304" s="6">
        <f>Table1[[#This Row],[Sales]]*Table1[[#This Row],[Quantity]]</f>
        <v>374049</v>
      </c>
    </row>
    <row r="305" spans="1:9" x14ac:dyDescent="0.35">
      <c r="A305" t="s">
        <v>312</v>
      </c>
      <c r="B305" s="1">
        <v>45031</v>
      </c>
      <c r="C305" t="s">
        <v>30</v>
      </c>
      <c r="D305" t="s">
        <v>13</v>
      </c>
      <c r="E305" s="6">
        <v>4709</v>
      </c>
      <c r="F305">
        <v>8</v>
      </c>
      <c r="G305" t="str">
        <f>PROPER(TRIM(Table1[[#This Row],[Product]]))</f>
        <v>Laptop</v>
      </c>
      <c r="H305" t="str">
        <f>PROPER(TRIM(Table1[[#This Row],[Region]]))</f>
        <v>West</v>
      </c>
      <c r="I305" s="6">
        <f>Table1[[#This Row],[Sales]]*Table1[[#This Row],[Quantity]]</f>
        <v>37672</v>
      </c>
    </row>
    <row r="306" spans="1:9" x14ac:dyDescent="0.35">
      <c r="A306" t="s">
        <v>313</v>
      </c>
      <c r="B306" s="1">
        <v>45163</v>
      </c>
      <c r="C306" t="s">
        <v>30</v>
      </c>
      <c r="D306" t="s">
        <v>25</v>
      </c>
      <c r="E306" s="6">
        <v>1771</v>
      </c>
      <c r="F306">
        <v>10</v>
      </c>
      <c r="G306" t="str">
        <f>PROPER(TRIM(Table1[[#This Row],[Product]]))</f>
        <v>Tablet</v>
      </c>
      <c r="H306" t="str">
        <f>PROPER(TRIM(Table1[[#This Row],[Region]]))</f>
        <v>West</v>
      </c>
      <c r="I306" s="6">
        <f>Table1[[#This Row],[Sales]]*Table1[[#This Row],[Quantity]]</f>
        <v>17710</v>
      </c>
    </row>
    <row r="307" spans="1:9" x14ac:dyDescent="0.35">
      <c r="A307" t="s">
        <v>314</v>
      </c>
      <c r="B307" s="1">
        <v>45114</v>
      </c>
      <c r="C307" t="s">
        <v>33</v>
      </c>
      <c r="D307" t="s">
        <v>13</v>
      </c>
      <c r="E307" s="6">
        <v>8228</v>
      </c>
      <c r="F307">
        <v>3</v>
      </c>
      <c r="G307" t="str">
        <f>PROPER(TRIM(Table1[[#This Row],[Product]]))</f>
        <v>Laptop</v>
      </c>
      <c r="H307" t="str">
        <f>PROPER(TRIM(Table1[[#This Row],[Region]]))</f>
        <v>South</v>
      </c>
      <c r="I307" s="6">
        <f>Table1[[#This Row],[Sales]]*Table1[[#This Row],[Quantity]]</f>
        <v>24684</v>
      </c>
    </row>
    <row r="308" spans="1:9" x14ac:dyDescent="0.35">
      <c r="A308" t="s">
        <v>315</v>
      </c>
      <c r="B308" s="1">
        <v>44953</v>
      </c>
      <c r="C308" t="s">
        <v>8</v>
      </c>
      <c r="D308" t="s">
        <v>40</v>
      </c>
      <c r="E308" s="6">
        <v>10870</v>
      </c>
      <c r="F308">
        <v>6</v>
      </c>
      <c r="G308" t="str">
        <f>PROPER(TRIM(Table1[[#This Row],[Product]]))</f>
        <v>Headphones</v>
      </c>
      <c r="H308" t="str">
        <f>PROPER(TRIM(Table1[[#This Row],[Region]]))</f>
        <v>North</v>
      </c>
      <c r="I308" s="6">
        <f>Table1[[#This Row],[Sales]]*Table1[[#This Row],[Quantity]]</f>
        <v>65220</v>
      </c>
    </row>
    <row r="309" spans="1:9" x14ac:dyDescent="0.35">
      <c r="A309" t="s">
        <v>316</v>
      </c>
      <c r="B309" s="1">
        <v>44991</v>
      </c>
      <c r="C309" t="s">
        <v>30</v>
      </c>
      <c r="D309" t="s">
        <v>28</v>
      </c>
      <c r="E309" s="6">
        <v>13680</v>
      </c>
      <c r="F309">
        <v>1</v>
      </c>
      <c r="G309" t="str">
        <f>PROPER(TRIM(Table1[[#This Row],[Product]]))</f>
        <v>Phone</v>
      </c>
      <c r="H309" t="str">
        <f>PROPER(TRIM(Table1[[#This Row],[Region]]))</f>
        <v>West</v>
      </c>
      <c r="I309" s="6">
        <f>Table1[[#This Row],[Sales]]*Table1[[#This Row],[Quantity]]</f>
        <v>13680</v>
      </c>
    </row>
    <row r="310" spans="1:9" x14ac:dyDescent="0.35">
      <c r="A310" t="s">
        <v>317</v>
      </c>
      <c r="B310" s="1">
        <v>45045</v>
      </c>
      <c r="C310" t="s">
        <v>18</v>
      </c>
      <c r="D310" t="s">
        <v>40</v>
      </c>
      <c r="E310" s="6">
        <v>23226</v>
      </c>
      <c r="F310">
        <v>10</v>
      </c>
      <c r="G310" t="str">
        <f>PROPER(TRIM(Table1[[#This Row],[Product]]))</f>
        <v>Headphones</v>
      </c>
      <c r="H310" t="str">
        <f>PROPER(TRIM(Table1[[#This Row],[Region]]))</f>
        <v>East</v>
      </c>
      <c r="I310" s="6">
        <f>Table1[[#This Row],[Sales]]*Table1[[#This Row],[Quantity]]</f>
        <v>232260</v>
      </c>
    </row>
    <row r="311" spans="1:9" x14ac:dyDescent="0.35">
      <c r="A311" t="s">
        <v>318</v>
      </c>
      <c r="B311" s="1">
        <v>45286</v>
      </c>
      <c r="C311" t="s">
        <v>8</v>
      </c>
      <c r="D311" t="s">
        <v>28</v>
      </c>
      <c r="E311" s="6">
        <v>34470</v>
      </c>
      <c r="F311">
        <v>1</v>
      </c>
      <c r="G311" t="str">
        <f>PROPER(TRIM(Table1[[#This Row],[Product]]))</f>
        <v>Phone</v>
      </c>
      <c r="H311" t="str">
        <f>PROPER(TRIM(Table1[[#This Row],[Region]]))</f>
        <v>North</v>
      </c>
      <c r="I311" s="6">
        <f>Table1[[#This Row],[Sales]]*Table1[[#This Row],[Quantity]]</f>
        <v>34470</v>
      </c>
    </row>
    <row r="312" spans="1:9" x14ac:dyDescent="0.35">
      <c r="A312" t="s">
        <v>319</v>
      </c>
      <c r="B312" s="1">
        <v>45210</v>
      </c>
      <c r="C312" t="s">
        <v>18</v>
      </c>
      <c r="D312" t="s">
        <v>40</v>
      </c>
      <c r="E312" s="6">
        <v>16372</v>
      </c>
      <c r="F312">
        <v>5</v>
      </c>
      <c r="G312" t="str">
        <f>PROPER(TRIM(Table1[[#This Row],[Product]]))</f>
        <v>Headphones</v>
      </c>
      <c r="H312" t="str">
        <f>PROPER(TRIM(Table1[[#This Row],[Region]]))</f>
        <v>East</v>
      </c>
      <c r="I312" s="6">
        <f>Table1[[#This Row],[Sales]]*Table1[[#This Row],[Quantity]]</f>
        <v>81860</v>
      </c>
    </row>
    <row r="313" spans="1:9" x14ac:dyDescent="0.35">
      <c r="A313" t="s">
        <v>320</v>
      </c>
      <c r="B313" s="1">
        <v>44947</v>
      </c>
      <c r="C313" t="s">
        <v>33</v>
      </c>
      <c r="D313" t="s">
        <v>28</v>
      </c>
      <c r="E313" s="6">
        <v>28531</v>
      </c>
      <c r="F313">
        <v>2</v>
      </c>
      <c r="G313" t="str">
        <f>PROPER(TRIM(Table1[[#This Row],[Product]]))</f>
        <v>Phone</v>
      </c>
      <c r="H313" t="str">
        <f>PROPER(TRIM(Table1[[#This Row],[Region]]))</f>
        <v>South</v>
      </c>
      <c r="I313" s="6">
        <f>Table1[[#This Row],[Sales]]*Table1[[#This Row],[Quantity]]</f>
        <v>57062</v>
      </c>
    </row>
    <row r="314" spans="1:9" x14ac:dyDescent="0.35">
      <c r="A314" t="s">
        <v>320</v>
      </c>
      <c r="B314" s="1">
        <v>44947</v>
      </c>
      <c r="C314" t="s">
        <v>33</v>
      </c>
      <c r="D314" t="s">
        <v>28</v>
      </c>
      <c r="E314" s="6">
        <v>28531</v>
      </c>
      <c r="F314">
        <v>2</v>
      </c>
      <c r="G314" t="str">
        <f>PROPER(TRIM(Table1[[#This Row],[Product]]))</f>
        <v>Phone</v>
      </c>
      <c r="H314" t="str">
        <f>PROPER(TRIM(Table1[[#This Row],[Region]]))</f>
        <v>South</v>
      </c>
      <c r="I314" s="6">
        <f>Table1[[#This Row],[Sales]]*Table1[[#This Row],[Quantity]]</f>
        <v>57062</v>
      </c>
    </row>
    <row r="315" spans="1:9" x14ac:dyDescent="0.35">
      <c r="A315" t="s">
        <v>321</v>
      </c>
      <c r="B315" s="1">
        <v>45042</v>
      </c>
      <c r="C315" t="s">
        <v>33</v>
      </c>
      <c r="D315" t="s">
        <v>31</v>
      </c>
      <c r="E315" s="6">
        <v>42281</v>
      </c>
      <c r="F315">
        <v>4</v>
      </c>
      <c r="G315" t="str">
        <f>PROPER(TRIM(Table1[[#This Row],[Product]]))</f>
        <v>Monitor</v>
      </c>
      <c r="H315" t="str">
        <f>PROPER(TRIM(Table1[[#This Row],[Region]]))</f>
        <v>South</v>
      </c>
      <c r="I315" s="6">
        <f>Table1[[#This Row],[Sales]]*Table1[[#This Row],[Quantity]]</f>
        <v>169124</v>
      </c>
    </row>
    <row r="316" spans="1:9" x14ac:dyDescent="0.35">
      <c r="A316" t="s">
        <v>322</v>
      </c>
      <c r="B316" s="1">
        <v>45067</v>
      </c>
      <c r="C316" t="s">
        <v>30</v>
      </c>
      <c r="D316" t="s">
        <v>25</v>
      </c>
      <c r="E316" s="6">
        <v>3057</v>
      </c>
      <c r="F316">
        <v>9</v>
      </c>
      <c r="G316" t="str">
        <f>PROPER(TRIM(Table1[[#This Row],[Product]]))</f>
        <v>Tablet</v>
      </c>
      <c r="H316" t="str">
        <f>PROPER(TRIM(Table1[[#This Row],[Region]]))</f>
        <v>West</v>
      </c>
      <c r="I316" s="6">
        <f>Table1[[#This Row],[Sales]]*Table1[[#This Row],[Quantity]]</f>
        <v>27513</v>
      </c>
    </row>
    <row r="317" spans="1:9" x14ac:dyDescent="0.35">
      <c r="A317" t="s">
        <v>323</v>
      </c>
      <c r="B317" s="1">
        <v>44982</v>
      </c>
      <c r="C317" t="s">
        <v>8</v>
      </c>
      <c r="D317" t="s">
        <v>13</v>
      </c>
      <c r="E317" s="6">
        <v>15795</v>
      </c>
      <c r="F317">
        <v>5</v>
      </c>
      <c r="G317" t="str">
        <f>PROPER(TRIM(Table1[[#This Row],[Product]]))</f>
        <v>Laptop</v>
      </c>
      <c r="H317" t="str">
        <f>PROPER(TRIM(Table1[[#This Row],[Region]]))</f>
        <v>North</v>
      </c>
      <c r="I317" s="6">
        <f>Table1[[#This Row],[Sales]]*Table1[[#This Row],[Quantity]]</f>
        <v>78975</v>
      </c>
    </row>
    <row r="318" spans="1:9" x14ac:dyDescent="0.35">
      <c r="A318" t="s">
        <v>324</v>
      </c>
      <c r="B318" s="1">
        <v>45281</v>
      </c>
      <c r="C318" t="s">
        <v>18</v>
      </c>
      <c r="D318" t="s">
        <v>31</v>
      </c>
      <c r="E318" s="6">
        <v>22559</v>
      </c>
      <c r="F318">
        <v>2</v>
      </c>
      <c r="G318" t="str">
        <f>PROPER(TRIM(Table1[[#This Row],[Product]]))</f>
        <v>Monitor</v>
      </c>
      <c r="H318" t="str">
        <f>PROPER(TRIM(Table1[[#This Row],[Region]]))</f>
        <v>East</v>
      </c>
      <c r="I318" s="6">
        <f>Table1[[#This Row],[Sales]]*Table1[[#This Row],[Quantity]]</f>
        <v>45118</v>
      </c>
    </row>
    <row r="319" spans="1:9" x14ac:dyDescent="0.35">
      <c r="A319" t="s">
        <v>325</v>
      </c>
      <c r="B319" s="1">
        <v>45283</v>
      </c>
      <c r="C319" t="s">
        <v>33</v>
      </c>
      <c r="D319" t="s">
        <v>13</v>
      </c>
      <c r="E319" s="6">
        <v>41710</v>
      </c>
      <c r="F319">
        <v>5</v>
      </c>
      <c r="G319" t="str">
        <f>PROPER(TRIM(Table1[[#This Row],[Product]]))</f>
        <v>Laptop</v>
      </c>
      <c r="H319" t="str">
        <f>PROPER(TRIM(Table1[[#This Row],[Region]]))</f>
        <v>South</v>
      </c>
      <c r="I319" s="6">
        <f>Table1[[#This Row],[Sales]]*Table1[[#This Row],[Quantity]]</f>
        <v>208550</v>
      </c>
    </row>
    <row r="320" spans="1:9" x14ac:dyDescent="0.35">
      <c r="A320" t="s">
        <v>326</v>
      </c>
      <c r="B320" s="1">
        <v>44990</v>
      </c>
      <c r="C320" t="s">
        <v>33</v>
      </c>
      <c r="D320" t="s">
        <v>40</v>
      </c>
      <c r="E320" s="6">
        <v>33027</v>
      </c>
      <c r="F320">
        <v>6</v>
      </c>
      <c r="G320" t="str">
        <f>PROPER(TRIM(Table1[[#This Row],[Product]]))</f>
        <v>Headphones</v>
      </c>
      <c r="H320" t="str">
        <f>PROPER(TRIM(Table1[[#This Row],[Region]]))</f>
        <v>South</v>
      </c>
      <c r="I320" s="6">
        <f>Table1[[#This Row],[Sales]]*Table1[[#This Row],[Quantity]]</f>
        <v>198162</v>
      </c>
    </row>
    <row r="321" spans="1:9" x14ac:dyDescent="0.35">
      <c r="A321" t="s">
        <v>327</v>
      </c>
      <c r="B321" s="1">
        <v>45273</v>
      </c>
      <c r="C321" t="s">
        <v>8</v>
      </c>
      <c r="D321" t="s">
        <v>40</v>
      </c>
      <c r="E321" s="6">
        <v>49711</v>
      </c>
      <c r="F321">
        <v>4</v>
      </c>
      <c r="G321" t="str">
        <f>PROPER(TRIM(Table1[[#This Row],[Product]]))</f>
        <v>Headphones</v>
      </c>
      <c r="H321" t="str">
        <f>PROPER(TRIM(Table1[[#This Row],[Region]]))</f>
        <v>North</v>
      </c>
      <c r="I321" s="6">
        <f>Table1[[#This Row],[Sales]]*Table1[[#This Row],[Quantity]]</f>
        <v>198844</v>
      </c>
    </row>
    <row r="322" spans="1:9" x14ac:dyDescent="0.35">
      <c r="A322" t="s">
        <v>328</v>
      </c>
      <c r="B322" s="1">
        <v>45083</v>
      </c>
      <c r="C322" t="s">
        <v>30</v>
      </c>
      <c r="D322" t="s">
        <v>40</v>
      </c>
      <c r="E322" s="6">
        <v>28355</v>
      </c>
      <c r="F322">
        <v>8</v>
      </c>
      <c r="G322" t="str">
        <f>PROPER(TRIM(Table1[[#This Row],[Product]]))</f>
        <v>Headphones</v>
      </c>
      <c r="H322" t="str">
        <f>PROPER(TRIM(Table1[[#This Row],[Region]]))</f>
        <v>West</v>
      </c>
      <c r="I322" s="6">
        <f>Table1[[#This Row],[Sales]]*Table1[[#This Row],[Quantity]]</f>
        <v>226840</v>
      </c>
    </row>
    <row r="323" spans="1:9" x14ac:dyDescent="0.35">
      <c r="A323" t="s">
        <v>329</v>
      </c>
      <c r="B323" s="1">
        <v>45077</v>
      </c>
      <c r="C323" t="s">
        <v>18</v>
      </c>
      <c r="D323" t="s">
        <v>40</v>
      </c>
      <c r="E323" s="6">
        <v>44306</v>
      </c>
      <c r="F323">
        <v>3</v>
      </c>
      <c r="G323" t="str">
        <f>PROPER(TRIM(Table1[[#This Row],[Product]]))</f>
        <v>Headphones</v>
      </c>
      <c r="H323" t="str">
        <f>PROPER(TRIM(Table1[[#This Row],[Region]]))</f>
        <v>East</v>
      </c>
      <c r="I323" s="6">
        <f>Table1[[#This Row],[Sales]]*Table1[[#This Row],[Quantity]]</f>
        <v>132918</v>
      </c>
    </row>
    <row r="324" spans="1:9" x14ac:dyDescent="0.35">
      <c r="A324" t="s">
        <v>330</v>
      </c>
      <c r="B324" s="1">
        <v>45218</v>
      </c>
      <c r="C324" t="s">
        <v>18</v>
      </c>
      <c r="D324" t="s">
        <v>28</v>
      </c>
      <c r="E324" s="6">
        <v>33812</v>
      </c>
      <c r="F324">
        <v>3</v>
      </c>
      <c r="G324" t="str">
        <f>PROPER(TRIM(Table1[[#This Row],[Product]]))</f>
        <v>Phone</v>
      </c>
      <c r="H324" t="str">
        <f>PROPER(TRIM(Table1[[#This Row],[Region]]))</f>
        <v>East</v>
      </c>
      <c r="I324" s="6">
        <f>Table1[[#This Row],[Sales]]*Table1[[#This Row],[Quantity]]</f>
        <v>101436</v>
      </c>
    </row>
    <row r="325" spans="1:9" x14ac:dyDescent="0.35">
      <c r="A325" t="s">
        <v>331</v>
      </c>
      <c r="B325" s="1">
        <v>45074</v>
      </c>
      <c r="C325" t="s">
        <v>33</v>
      </c>
      <c r="D325" t="s">
        <v>40</v>
      </c>
      <c r="E325" s="6">
        <v>27914</v>
      </c>
      <c r="F325">
        <v>2</v>
      </c>
      <c r="G325" t="str">
        <f>PROPER(TRIM(Table1[[#This Row],[Product]]))</f>
        <v>Headphones</v>
      </c>
      <c r="H325" t="str">
        <f>PROPER(TRIM(Table1[[#This Row],[Region]]))</f>
        <v>South</v>
      </c>
      <c r="I325" s="6">
        <f>Table1[[#This Row],[Sales]]*Table1[[#This Row],[Quantity]]</f>
        <v>55828</v>
      </c>
    </row>
    <row r="326" spans="1:9" x14ac:dyDescent="0.35">
      <c r="A326" t="s">
        <v>331</v>
      </c>
      <c r="B326" s="1">
        <v>45074</v>
      </c>
      <c r="C326" t="s">
        <v>33</v>
      </c>
      <c r="D326" t="s">
        <v>40</v>
      </c>
      <c r="E326" s="6">
        <v>27914</v>
      </c>
      <c r="F326">
        <v>2</v>
      </c>
      <c r="G326" t="str">
        <f>PROPER(TRIM(Table1[[#This Row],[Product]]))</f>
        <v>Headphones</v>
      </c>
      <c r="H326" t="str">
        <f>PROPER(TRIM(Table1[[#This Row],[Region]]))</f>
        <v>South</v>
      </c>
      <c r="I326" s="6">
        <f>Table1[[#This Row],[Sales]]*Table1[[#This Row],[Quantity]]</f>
        <v>55828</v>
      </c>
    </row>
    <row r="327" spans="1:9" x14ac:dyDescent="0.35">
      <c r="A327" t="s">
        <v>332</v>
      </c>
      <c r="B327" s="1">
        <v>44967</v>
      </c>
      <c r="C327" t="s">
        <v>8</v>
      </c>
      <c r="D327" t="s">
        <v>25</v>
      </c>
      <c r="E327" s="6">
        <v>16469</v>
      </c>
      <c r="F327">
        <v>2</v>
      </c>
      <c r="G327" t="str">
        <f>PROPER(TRIM(Table1[[#This Row],[Product]]))</f>
        <v>Tablet</v>
      </c>
      <c r="H327" t="str">
        <f>PROPER(TRIM(Table1[[#This Row],[Region]]))</f>
        <v>North</v>
      </c>
      <c r="I327" s="6">
        <f>Table1[[#This Row],[Sales]]*Table1[[#This Row],[Quantity]]</f>
        <v>32938</v>
      </c>
    </row>
    <row r="328" spans="1:9" x14ac:dyDescent="0.35">
      <c r="A328" t="s">
        <v>333</v>
      </c>
      <c r="B328" s="1">
        <v>45026</v>
      </c>
      <c r="C328" t="s">
        <v>18</v>
      </c>
      <c r="D328" t="s">
        <v>40</v>
      </c>
      <c r="E328" s="6">
        <v>21343</v>
      </c>
      <c r="F328">
        <v>6</v>
      </c>
      <c r="G328" t="str">
        <f>PROPER(TRIM(Table1[[#This Row],[Product]]))</f>
        <v>Headphones</v>
      </c>
      <c r="H328" t="str">
        <f>PROPER(TRIM(Table1[[#This Row],[Region]]))</f>
        <v>East</v>
      </c>
      <c r="I328" s="6">
        <f>Table1[[#This Row],[Sales]]*Table1[[#This Row],[Quantity]]</f>
        <v>128058</v>
      </c>
    </row>
    <row r="329" spans="1:9" x14ac:dyDescent="0.35">
      <c r="A329" t="s">
        <v>334</v>
      </c>
      <c r="B329" s="1">
        <v>44940</v>
      </c>
      <c r="C329" t="s">
        <v>33</v>
      </c>
      <c r="D329" t="s">
        <v>31</v>
      </c>
      <c r="E329" s="6">
        <v>7477</v>
      </c>
      <c r="F329">
        <v>6</v>
      </c>
      <c r="G329" t="str">
        <f>PROPER(TRIM(Table1[[#This Row],[Product]]))</f>
        <v>Monitor</v>
      </c>
      <c r="H329" t="str">
        <f>PROPER(TRIM(Table1[[#This Row],[Region]]))</f>
        <v>South</v>
      </c>
      <c r="I329" s="6">
        <f>Table1[[#This Row],[Sales]]*Table1[[#This Row],[Quantity]]</f>
        <v>44862</v>
      </c>
    </row>
    <row r="330" spans="1:9" x14ac:dyDescent="0.35">
      <c r="A330" t="s">
        <v>335</v>
      </c>
      <c r="B330" s="1">
        <v>45218</v>
      </c>
      <c r="C330" t="s">
        <v>18</v>
      </c>
      <c r="D330" t="s">
        <v>13</v>
      </c>
      <c r="E330" s="6">
        <v>2996</v>
      </c>
      <c r="F330">
        <v>7</v>
      </c>
      <c r="G330" t="str">
        <f>PROPER(TRIM(Table1[[#This Row],[Product]]))</f>
        <v>Laptop</v>
      </c>
      <c r="H330" t="str">
        <f>PROPER(TRIM(Table1[[#This Row],[Region]]))</f>
        <v>East</v>
      </c>
      <c r="I330" s="6">
        <f>Table1[[#This Row],[Sales]]*Table1[[#This Row],[Quantity]]</f>
        <v>20972</v>
      </c>
    </row>
    <row r="331" spans="1:9" x14ac:dyDescent="0.35">
      <c r="A331" t="s">
        <v>336</v>
      </c>
      <c r="B331" s="1">
        <v>45275</v>
      </c>
      <c r="C331" t="s">
        <v>18</v>
      </c>
      <c r="D331" t="s">
        <v>40</v>
      </c>
      <c r="E331" s="6">
        <v>45531</v>
      </c>
      <c r="F331">
        <v>9</v>
      </c>
      <c r="G331" t="str">
        <f>PROPER(TRIM(Table1[[#This Row],[Product]]))</f>
        <v>Headphones</v>
      </c>
      <c r="H331" t="str">
        <f>PROPER(TRIM(Table1[[#This Row],[Region]]))</f>
        <v>East</v>
      </c>
      <c r="I331" s="6">
        <f>Table1[[#This Row],[Sales]]*Table1[[#This Row],[Quantity]]</f>
        <v>409779</v>
      </c>
    </row>
    <row r="332" spans="1:9" x14ac:dyDescent="0.35">
      <c r="A332" t="s">
        <v>337</v>
      </c>
      <c r="B332" s="1">
        <v>45174</v>
      </c>
      <c r="C332" t="s">
        <v>18</v>
      </c>
      <c r="D332" t="s">
        <v>13</v>
      </c>
      <c r="E332" s="6">
        <v>12135</v>
      </c>
      <c r="F332">
        <v>9</v>
      </c>
      <c r="G332" t="str">
        <f>PROPER(TRIM(Table1[[#This Row],[Product]]))</f>
        <v>Laptop</v>
      </c>
      <c r="H332" t="str">
        <f>PROPER(TRIM(Table1[[#This Row],[Region]]))</f>
        <v>East</v>
      </c>
      <c r="I332" s="6">
        <f>Table1[[#This Row],[Sales]]*Table1[[#This Row],[Quantity]]</f>
        <v>109215</v>
      </c>
    </row>
    <row r="333" spans="1:9" x14ac:dyDescent="0.35">
      <c r="A333" t="s">
        <v>338</v>
      </c>
      <c r="B333" s="1">
        <v>45277</v>
      </c>
      <c r="C333" t="s">
        <v>30</v>
      </c>
      <c r="D333" t="s">
        <v>25</v>
      </c>
      <c r="E333" s="6">
        <v>25542</v>
      </c>
      <c r="F333">
        <v>7</v>
      </c>
      <c r="G333" t="str">
        <f>PROPER(TRIM(Table1[[#This Row],[Product]]))</f>
        <v>Tablet</v>
      </c>
      <c r="H333" t="str">
        <f>PROPER(TRIM(Table1[[#This Row],[Region]]))</f>
        <v>West</v>
      </c>
      <c r="I333" s="6">
        <f>Table1[[#This Row],[Sales]]*Table1[[#This Row],[Quantity]]</f>
        <v>178794</v>
      </c>
    </row>
    <row r="334" spans="1:9" x14ac:dyDescent="0.35">
      <c r="A334" t="s">
        <v>339</v>
      </c>
      <c r="B334" s="1">
        <v>45136</v>
      </c>
      <c r="C334" t="s">
        <v>30</v>
      </c>
      <c r="D334" t="s">
        <v>31</v>
      </c>
      <c r="E334" s="6">
        <v>9740</v>
      </c>
      <c r="F334">
        <v>3</v>
      </c>
      <c r="G334" t="str">
        <f>PROPER(TRIM(Table1[[#This Row],[Product]]))</f>
        <v>Monitor</v>
      </c>
      <c r="H334" t="str">
        <f>PROPER(TRIM(Table1[[#This Row],[Region]]))</f>
        <v>West</v>
      </c>
      <c r="I334" s="6">
        <f>Table1[[#This Row],[Sales]]*Table1[[#This Row],[Quantity]]</f>
        <v>29220</v>
      </c>
    </row>
    <row r="335" spans="1:9" x14ac:dyDescent="0.35">
      <c r="A335" t="s">
        <v>340</v>
      </c>
      <c r="B335" s="1">
        <v>45037</v>
      </c>
      <c r="C335" t="s">
        <v>8</v>
      </c>
      <c r="D335" t="s">
        <v>40</v>
      </c>
      <c r="E335" s="6">
        <v>4731</v>
      </c>
      <c r="F335">
        <v>9</v>
      </c>
      <c r="G335" t="str">
        <f>PROPER(TRIM(Table1[[#This Row],[Product]]))</f>
        <v>Headphones</v>
      </c>
      <c r="H335" t="str">
        <f>PROPER(TRIM(Table1[[#This Row],[Region]]))</f>
        <v>North</v>
      </c>
      <c r="I335" s="6">
        <f>Table1[[#This Row],[Sales]]*Table1[[#This Row],[Quantity]]</f>
        <v>42579</v>
      </c>
    </row>
    <row r="336" spans="1:9" x14ac:dyDescent="0.35">
      <c r="A336" t="s">
        <v>341</v>
      </c>
      <c r="B336" s="1">
        <v>45067</v>
      </c>
      <c r="C336" t="s">
        <v>8</v>
      </c>
      <c r="D336" t="s">
        <v>25</v>
      </c>
      <c r="E336" s="6">
        <v>12187</v>
      </c>
      <c r="F336">
        <v>4</v>
      </c>
      <c r="G336" t="str">
        <f>PROPER(TRIM(Table1[[#This Row],[Product]]))</f>
        <v>Tablet</v>
      </c>
      <c r="H336" t="str">
        <f>PROPER(TRIM(Table1[[#This Row],[Region]]))</f>
        <v>North</v>
      </c>
      <c r="I336" s="6">
        <f>Table1[[#This Row],[Sales]]*Table1[[#This Row],[Quantity]]</f>
        <v>48748</v>
      </c>
    </row>
    <row r="337" spans="1:9" x14ac:dyDescent="0.35">
      <c r="A337" t="s">
        <v>342</v>
      </c>
      <c r="B337" s="1">
        <v>45126</v>
      </c>
      <c r="C337" t="s">
        <v>8</v>
      </c>
      <c r="D337" t="s">
        <v>31</v>
      </c>
      <c r="E337" s="6">
        <v>12999</v>
      </c>
      <c r="F337">
        <v>7</v>
      </c>
      <c r="G337" t="str">
        <f>PROPER(TRIM(Table1[[#This Row],[Product]]))</f>
        <v>Monitor</v>
      </c>
      <c r="H337" t="str">
        <f>PROPER(TRIM(Table1[[#This Row],[Region]]))</f>
        <v>North</v>
      </c>
      <c r="I337" s="6">
        <f>Table1[[#This Row],[Sales]]*Table1[[#This Row],[Quantity]]</f>
        <v>90993</v>
      </c>
    </row>
    <row r="338" spans="1:9" x14ac:dyDescent="0.35">
      <c r="A338" t="s">
        <v>343</v>
      </c>
      <c r="B338" s="1">
        <v>45170</v>
      </c>
      <c r="C338" t="s">
        <v>33</v>
      </c>
      <c r="D338" t="s">
        <v>28</v>
      </c>
      <c r="E338" s="6">
        <v>37397</v>
      </c>
      <c r="F338">
        <v>6</v>
      </c>
      <c r="G338" t="str">
        <f>PROPER(TRIM(Table1[[#This Row],[Product]]))</f>
        <v>Phone</v>
      </c>
      <c r="H338" t="str">
        <f>PROPER(TRIM(Table1[[#This Row],[Region]]))</f>
        <v>South</v>
      </c>
      <c r="I338" s="6">
        <f>Table1[[#This Row],[Sales]]*Table1[[#This Row],[Quantity]]</f>
        <v>224382</v>
      </c>
    </row>
    <row r="339" spans="1:9" x14ac:dyDescent="0.35">
      <c r="A339" t="s">
        <v>344</v>
      </c>
      <c r="B339" s="1">
        <v>45069</v>
      </c>
      <c r="C339" t="s">
        <v>33</v>
      </c>
      <c r="D339" t="s">
        <v>31</v>
      </c>
      <c r="E339" s="6">
        <v>16163</v>
      </c>
      <c r="F339">
        <v>6</v>
      </c>
      <c r="G339" t="str">
        <f>PROPER(TRIM(Table1[[#This Row],[Product]]))</f>
        <v>Monitor</v>
      </c>
      <c r="H339" t="str">
        <f>PROPER(TRIM(Table1[[#This Row],[Region]]))</f>
        <v>South</v>
      </c>
      <c r="I339" s="6">
        <f>Table1[[#This Row],[Sales]]*Table1[[#This Row],[Quantity]]</f>
        <v>96978</v>
      </c>
    </row>
    <row r="340" spans="1:9" x14ac:dyDescent="0.35">
      <c r="A340" t="s">
        <v>345</v>
      </c>
      <c r="B340" s="1">
        <v>45130</v>
      </c>
      <c r="C340" t="s">
        <v>18</v>
      </c>
      <c r="D340" t="s">
        <v>31</v>
      </c>
      <c r="E340" s="6">
        <v>14449</v>
      </c>
      <c r="F340">
        <v>4</v>
      </c>
      <c r="G340" t="str">
        <f>PROPER(TRIM(Table1[[#This Row],[Product]]))</f>
        <v>Monitor</v>
      </c>
      <c r="H340" t="str">
        <f>PROPER(TRIM(Table1[[#This Row],[Region]]))</f>
        <v>East</v>
      </c>
      <c r="I340" s="6">
        <f>Table1[[#This Row],[Sales]]*Table1[[#This Row],[Quantity]]</f>
        <v>57796</v>
      </c>
    </row>
    <row r="341" spans="1:9" x14ac:dyDescent="0.35">
      <c r="A341" t="s">
        <v>346</v>
      </c>
      <c r="B341" s="1">
        <v>45131</v>
      </c>
      <c r="C341" t="s">
        <v>33</v>
      </c>
      <c r="D341" t="s">
        <v>25</v>
      </c>
      <c r="E341" s="6">
        <v>10158</v>
      </c>
      <c r="F341">
        <v>2</v>
      </c>
      <c r="G341" t="str">
        <f>PROPER(TRIM(Table1[[#This Row],[Product]]))</f>
        <v>Tablet</v>
      </c>
      <c r="H341" t="str">
        <f>PROPER(TRIM(Table1[[#This Row],[Region]]))</f>
        <v>South</v>
      </c>
      <c r="I341" s="6">
        <f>Table1[[#This Row],[Sales]]*Table1[[#This Row],[Quantity]]</f>
        <v>20316</v>
      </c>
    </row>
    <row r="342" spans="1:9" x14ac:dyDescent="0.35">
      <c r="A342" t="s">
        <v>347</v>
      </c>
      <c r="B342" s="1">
        <v>45225</v>
      </c>
      <c r="C342" t="s">
        <v>30</v>
      </c>
      <c r="D342" t="s">
        <v>31</v>
      </c>
      <c r="E342" s="6">
        <v>16764</v>
      </c>
      <c r="F342">
        <v>4</v>
      </c>
      <c r="G342" t="str">
        <f>PROPER(TRIM(Table1[[#This Row],[Product]]))</f>
        <v>Monitor</v>
      </c>
      <c r="H342" t="str">
        <f>PROPER(TRIM(Table1[[#This Row],[Region]]))</f>
        <v>West</v>
      </c>
      <c r="I342" s="6">
        <f>Table1[[#This Row],[Sales]]*Table1[[#This Row],[Quantity]]</f>
        <v>67056</v>
      </c>
    </row>
    <row r="343" spans="1:9" x14ac:dyDescent="0.35">
      <c r="A343" t="s">
        <v>348</v>
      </c>
      <c r="B343" s="1">
        <v>44955</v>
      </c>
      <c r="C343" t="s">
        <v>30</v>
      </c>
      <c r="D343" t="s">
        <v>28</v>
      </c>
      <c r="E343" s="6">
        <v>19026</v>
      </c>
      <c r="F343">
        <v>8</v>
      </c>
      <c r="G343" t="str">
        <f>PROPER(TRIM(Table1[[#This Row],[Product]]))</f>
        <v>Phone</v>
      </c>
      <c r="H343" t="str">
        <f>PROPER(TRIM(Table1[[#This Row],[Region]]))</f>
        <v>West</v>
      </c>
      <c r="I343" s="6">
        <f>Table1[[#This Row],[Sales]]*Table1[[#This Row],[Quantity]]</f>
        <v>152208</v>
      </c>
    </row>
    <row r="344" spans="1:9" x14ac:dyDescent="0.35">
      <c r="A344" t="s">
        <v>349</v>
      </c>
      <c r="B344" s="1">
        <v>44987</v>
      </c>
      <c r="C344" t="s">
        <v>30</v>
      </c>
      <c r="D344" t="s">
        <v>28</v>
      </c>
      <c r="E344" s="6">
        <v>20338</v>
      </c>
      <c r="F344">
        <v>3</v>
      </c>
      <c r="G344" t="str">
        <f>PROPER(TRIM(Table1[[#This Row],[Product]]))</f>
        <v>Phone</v>
      </c>
      <c r="H344" t="str">
        <f>PROPER(TRIM(Table1[[#This Row],[Region]]))</f>
        <v>West</v>
      </c>
      <c r="I344" s="6">
        <f>Table1[[#This Row],[Sales]]*Table1[[#This Row],[Quantity]]</f>
        <v>61014</v>
      </c>
    </row>
    <row r="345" spans="1:9" x14ac:dyDescent="0.35">
      <c r="A345" t="s">
        <v>350</v>
      </c>
      <c r="B345" s="1">
        <v>45201</v>
      </c>
      <c r="C345" t="s">
        <v>33</v>
      </c>
      <c r="D345" t="s">
        <v>31</v>
      </c>
      <c r="E345" s="6">
        <v>9937</v>
      </c>
      <c r="F345">
        <v>2</v>
      </c>
      <c r="G345" t="str">
        <f>PROPER(TRIM(Table1[[#This Row],[Product]]))</f>
        <v>Monitor</v>
      </c>
      <c r="H345" t="str">
        <f>PROPER(TRIM(Table1[[#This Row],[Region]]))</f>
        <v>South</v>
      </c>
      <c r="I345" s="6">
        <f>Table1[[#This Row],[Sales]]*Table1[[#This Row],[Quantity]]</f>
        <v>19874</v>
      </c>
    </row>
    <row r="346" spans="1:9" x14ac:dyDescent="0.35">
      <c r="A346" t="s">
        <v>351</v>
      </c>
      <c r="B346" s="1">
        <v>45007</v>
      </c>
      <c r="C346" t="s">
        <v>18</v>
      </c>
      <c r="D346" t="s">
        <v>25</v>
      </c>
      <c r="E346" s="6">
        <v>48932</v>
      </c>
      <c r="F346">
        <v>4</v>
      </c>
      <c r="G346" t="str">
        <f>PROPER(TRIM(Table1[[#This Row],[Product]]))</f>
        <v>Tablet</v>
      </c>
      <c r="H346" t="str">
        <f>PROPER(TRIM(Table1[[#This Row],[Region]]))</f>
        <v>East</v>
      </c>
      <c r="I346" s="6">
        <f>Table1[[#This Row],[Sales]]*Table1[[#This Row],[Quantity]]</f>
        <v>195728</v>
      </c>
    </row>
    <row r="347" spans="1:9" x14ac:dyDescent="0.35">
      <c r="A347" t="s">
        <v>352</v>
      </c>
      <c r="B347" s="1">
        <v>45054</v>
      </c>
      <c r="C347" t="s">
        <v>30</v>
      </c>
      <c r="D347" t="s">
        <v>13</v>
      </c>
      <c r="E347" s="6">
        <v>48134</v>
      </c>
      <c r="F347">
        <v>1</v>
      </c>
      <c r="G347" t="str">
        <f>PROPER(TRIM(Table1[[#This Row],[Product]]))</f>
        <v>Laptop</v>
      </c>
      <c r="H347" t="str">
        <f>PROPER(TRIM(Table1[[#This Row],[Region]]))</f>
        <v>West</v>
      </c>
      <c r="I347" s="6">
        <f>Table1[[#This Row],[Sales]]*Table1[[#This Row],[Quantity]]</f>
        <v>48134</v>
      </c>
    </row>
    <row r="348" spans="1:9" x14ac:dyDescent="0.35">
      <c r="A348" t="s">
        <v>353</v>
      </c>
      <c r="B348" s="1">
        <v>45171</v>
      </c>
      <c r="C348" t="s">
        <v>8</v>
      </c>
      <c r="D348" t="s">
        <v>31</v>
      </c>
      <c r="E348" s="6">
        <v>18275</v>
      </c>
      <c r="F348">
        <v>1</v>
      </c>
      <c r="G348" t="str">
        <f>PROPER(TRIM(Table1[[#This Row],[Product]]))</f>
        <v>Monitor</v>
      </c>
      <c r="H348" t="str">
        <f>PROPER(TRIM(Table1[[#This Row],[Region]]))</f>
        <v>North</v>
      </c>
      <c r="I348" s="6">
        <f>Table1[[#This Row],[Sales]]*Table1[[#This Row],[Quantity]]</f>
        <v>18275</v>
      </c>
    </row>
    <row r="349" spans="1:9" x14ac:dyDescent="0.35">
      <c r="A349" t="s">
        <v>354</v>
      </c>
      <c r="B349" s="1">
        <v>45249</v>
      </c>
      <c r="C349" t="s">
        <v>33</v>
      </c>
      <c r="D349" t="s">
        <v>13</v>
      </c>
      <c r="E349" s="6">
        <v>16891</v>
      </c>
      <c r="F349">
        <v>6</v>
      </c>
      <c r="G349" t="str">
        <f>PROPER(TRIM(Table1[[#This Row],[Product]]))</f>
        <v>Laptop</v>
      </c>
      <c r="H349" t="str">
        <f>PROPER(TRIM(Table1[[#This Row],[Region]]))</f>
        <v>South</v>
      </c>
      <c r="I349" s="6">
        <f>Table1[[#This Row],[Sales]]*Table1[[#This Row],[Quantity]]</f>
        <v>101346</v>
      </c>
    </row>
    <row r="350" spans="1:9" x14ac:dyDescent="0.35">
      <c r="A350" t="s">
        <v>355</v>
      </c>
      <c r="B350" s="1">
        <v>45241</v>
      </c>
      <c r="C350" t="s">
        <v>30</v>
      </c>
      <c r="D350" t="s">
        <v>25</v>
      </c>
      <c r="E350" s="6">
        <v>37521</v>
      </c>
      <c r="F350">
        <v>2</v>
      </c>
      <c r="G350" t="str">
        <f>PROPER(TRIM(Table1[[#This Row],[Product]]))</f>
        <v>Tablet</v>
      </c>
      <c r="H350" t="str">
        <f>PROPER(TRIM(Table1[[#This Row],[Region]]))</f>
        <v>West</v>
      </c>
      <c r="I350" s="6">
        <f>Table1[[#This Row],[Sales]]*Table1[[#This Row],[Quantity]]</f>
        <v>75042</v>
      </c>
    </row>
    <row r="351" spans="1:9" x14ac:dyDescent="0.35">
      <c r="A351" t="s">
        <v>356</v>
      </c>
      <c r="B351" s="1">
        <v>44998</v>
      </c>
      <c r="C351" t="s">
        <v>30</v>
      </c>
      <c r="D351" t="s">
        <v>40</v>
      </c>
      <c r="E351" s="6">
        <v>36818</v>
      </c>
      <c r="F351">
        <v>4</v>
      </c>
      <c r="G351" t="str">
        <f>PROPER(TRIM(Table1[[#This Row],[Product]]))</f>
        <v>Headphones</v>
      </c>
      <c r="H351" t="str">
        <f>PROPER(TRIM(Table1[[#This Row],[Region]]))</f>
        <v>West</v>
      </c>
      <c r="I351" s="6">
        <f>Table1[[#This Row],[Sales]]*Table1[[#This Row],[Quantity]]</f>
        <v>147272</v>
      </c>
    </row>
    <row r="352" spans="1:9" x14ac:dyDescent="0.35">
      <c r="A352" t="s">
        <v>357</v>
      </c>
      <c r="B352" s="1">
        <v>45013</v>
      </c>
      <c r="C352" t="s">
        <v>18</v>
      </c>
      <c r="D352" t="s">
        <v>31</v>
      </c>
      <c r="E352" s="6">
        <v>26547</v>
      </c>
      <c r="F352">
        <v>7</v>
      </c>
      <c r="G352" t="str">
        <f>PROPER(TRIM(Table1[[#This Row],[Product]]))</f>
        <v>Monitor</v>
      </c>
      <c r="H352" t="str">
        <f>PROPER(TRIM(Table1[[#This Row],[Region]]))</f>
        <v>East</v>
      </c>
      <c r="I352" s="6">
        <f>Table1[[#This Row],[Sales]]*Table1[[#This Row],[Quantity]]</f>
        <v>185829</v>
      </c>
    </row>
    <row r="353" spans="1:9" x14ac:dyDescent="0.35">
      <c r="A353" t="s">
        <v>358</v>
      </c>
      <c r="B353" s="1">
        <v>44958</v>
      </c>
      <c r="C353" t="s">
        <v>18</v>
      </c>
      <c r="D353" t="s">
        <v>28</v>
      </c>
      <c r="E353" s="6">
        <v>19349</v>
      </c>
      <c r="F353">
        <v>9</v>
      </c>
      <c r="G353" t="str">
        <f>PROPER(TRIM(Table1[[#This Row],[Product]]))</f>
        <v>Phone</v>
      </c>
      <c r="H353" t="str">
        <f>PROPER(TRIM(Table1[[#This Row],[Region]]))</f>
        <v>East</v>
      </c>
      <c r="I353" s="6">
        <f>Table1[[#This Row],[Sales]]*Table1[[#This Row],[Quantity]]</f>
        <v>174141</v>
      </c>
    </row>
    <row r="354" spans="1:9" x14ac:dyDescent="0.35">
      <c r="A354" t="s">
        <v>359</v>
      </c>
      <c r="B354" s="1">
        <v>44947</v>
      </c>
      <c r="C354" t="s">
        <v>33</v>
      </c>
      <c r="D354" t="s">
        <v>40</v>
      </c>
      <c r="E354" s="6">
        <v>15153</v>
      </c>
      <c r="F354">
        <v>10</v>
      </c>
      <c r="G354" t="str">
        <f>PROPER(TRIM(Table1[[#This Row],[Product]]))</f>
        <v>Headphones</v>
      </c>
      <c r="H354" t="str">
        <f>PROPER(TRIM(Table1[[#This Row],[Region]]))</f>
        <v>South</v>
      </c>
      <c r="I354" s="6">
        <f>Table1[[#This Row],[Sales]]*Table1[[#This Row],[Quantity]]</f>
        <v>151530</v>
      </c>
    </row>
    <row r="355" spans="1:9" x14ac:dyDescent="0.35">
      <c r="A355" t="s">
        <v>360</v>
      </c>
      <c r="B355" s="1">
        <v>45284</v>
      </c>
      <c r="C355" t="s">
        <v>30</v>
      </c>
      <c r="D355" t="s">
        <v>31</v>
      </c>
      <c r="E355" s="6">
        <v>38186</v>
      </c>
      <c r="F355">
        <v>4</v>
      </c>
      <c r="G355" t="str">
        <f>PROPER(TRIM(Table1[[#This Row],[Product]]))</f>
        <v>Monitor</v>
      </c>
      <c r="H355" t="str">
        <f>PROPER(TRIM(Table1[[#This Row],[Region]]))</f>
        <v>West</v>
      </c>
      <c r="I355" s="6">
        <f>Table1[[#This Row],[Sales]]*Table1[[#This Row],[Quantity]]</f>
        <v>152744</v>
      </c>
    </row>
    <row r="356" spans="1:9" x14ac:dyDescent="0.35">
      <c r="A356" t="s">
        <v>361</v>
      </c>
      <c r="B356" s="1">
        <v>45097</v>
      </c>
      <c r="C356" t="s">
        <v>8</v>
      </c>
      <c r="D356" t="s">
        <v>31</v>
      </c>
      <c r="E356" s="6">
        <v>34996</v>
      </c>
      <c r="F356">
        <v>3</v>
      </c>
      <c r="G356" t="str">
        <f>PROPER(TRIM(Table1[[#This Row],[Product]]))</f>
        <v>Monitor</v>
      </c>
      <c r="H356" t="str">
        <f>PROPER(TRIM(Table1[[#This Row],[Region]]))</f>
        <v>North</v>
      </c>
      <c r="I356" s="6">
        <f>Table1[[#This Row],[Sales]]*Table1[[#This Row],[Quantity]]</f>
        <v>104988</v>
      </c>
    </row>
    <row r="357" spans="1:9" x14ac:dyDescent="0.35">
      <c r="A357" t="s">
        <v>362</v>
      </c>
      <c r="B357" s="1">
        <v>45174</v>
      </c>
      <c r="C357" t="s">
        <v>33</v>
      </c>
      <c r="D357" t="s">
        <v>28</v>
      </c>
      <c r="E357" s="6">
        <v>14196</v>
      </c>
      <c r="F357">
        <v>3</v>
      </c>
      <c r="G357" t="str">
        <f>PROPER(TRIM(Table1[[#This Row],[Product]]))</f>
        <v>Phone</v>
      </c>
      <c r="H357" t="str">
        <f>PROPER(TRIM(Table1[[#This Row],[Region]]))</f>
        <v>South</v>
      </c>
      <c r="I357" s="6">
        <f>Table1[[#This Row],[Sales]]*Table1[[#This Row],[Quantity]]</f>
        <v>42588</v>
      </c>
    </row>
    <row r="358" spans="1:9" x14ac:dyDescent="0.35">
      <c r="A358" t="s">
        <v>363</v>
      </c>
      <c r="B358" s="1">
        <v>45138</v>
      </c>
      <c r="C358" t="s">
        <v>33</v>
      </c>
      <c r="D358" t="s">
        <v>25</v>
      </c>
      <c r="E358" s="6">
        <v>37490</v>
      </c>
      <c r="F358">
        <v>1</v>
      </c>
      <c r="G358" t="str">
        <f>PROPER(TRIM(Table1[[#This Row],[Product]]))</f>
        <v>Tablet</v>
      </c>
      <c r="H358" t="str">
        <f>PROPER(TRIM(Table1[[#This Row],[Region]]))</f>
        <v>South</v>
      </c>
      <c r="I358" s="6">
        <f>Table1[[#This Row],[Sales]]*Table1[[#This Row],[Quantity]]</f>
        <v>37490</v>
      </c>
    </row>
    <row r="359" spans="1:9" x14ac:dyDescent="0.35">
      <c r="A359" t="s">
        <v>364</v>
      </c>
      <c r="B359" s="1">
        <v>45129</v>
      </c>
      <c r="C359" t="s">
        <v>30</v>
      </c>
      <c r="D359" t="s">
        <v>40</v>
      </c>
      <c r="E359" s="6">
        <v>4923</v>
      </c>
      <c r="F359">
        <v>9</v>
      </c>
      <c r="G359" t="str">
        <f>PROPER(TRIM(Table1[[#This Row],[Product]]))</f>
        <v>Headphones</v>
      </c>
      <c r="H359" t="str">
        <f>PROPER(TRIM(Table1[[#This Row],[Region]]))</f>
        <v>West</v>
      </c>
      <c r="I359" s="6">
        <f>Table1[[#This Row],[Sales]]*Table1[[#This Row],[Quantity]]</f>
        <v>44307</v>
      </c>
    </row>
    <row r="360" spans="1:9" x14ac:dyDescent="0.35">
      <c r="A360" t="s">
        <v>365</v>
      </c>
      <c r="B360" s="1">
        <v>45258</v>
      </c>
      <c r="C360" t="s">
        <v>30</v>
      </c>
      <c r="D360" t="s">
        <v>28</v>
      </c>
      <c r="E360" s="6">
        <v>11331</v>
      </c>
      <c r="F360">
        <v>1</v>
      </c>
      <c r="G360" t="str">
        <f>PROPER(TRIM(Table1[[#This Row],[Product]]))</f>
        <v>Phone</v>
      </c>
      <c r="H360" t="str">
        <f>PROPER(TRIM(Table1[[#This Row],[Region]]))</f>
        <v>West</v>
      </c>
      <c r="I360" s="6">
        <f>Table1[[#This Row],[Sales]]*Table1[[#This Row],[Quantity]]</f>
        <v>11331</v>
      </c>
    </row>
    <row r="361" spans="1:9" x14ac:dyDescent="0.35">
      <c r="A361" t="s">
        <v>366</v>
      </c>
      <c r="B361" s="1">
        <v>45011</v>
      </c>
      <c r="C361" t="s">
        <v>33</v>
      </c>
      <c r="D361" t="s">
        <v>31</v>
      </c>
      <c r="E361" s="6">
        <v>16928</v>
      </c>
      <c r="F361">
        <v>10</v>
      </c>
      <c r="G361" t="str">
        <f>PROPER(TRIM(Table1[[#This Row],[Product]]))</f>
        <v>Monitor</v>
      </c>
      <c r="H361" t="str">
        <f>PROPER(TRIM(Table1[[#This Row],[Region]]))</f>
        <v>South</v>
      </c>
      <c r="I361" s="6">
        <f>Table1[[#This Row],[Sales]]*Table1[[#This Row],[Quantity]]</f>
        <v>169280</v>
      </c>
    </row>
    <row r="362" spans="1:9" x14ac:dyDescent="0.35">
      <c r="A362" t="s">
        <v>367</v>
      </c>
      <c r="B362" s="1">
        <v>44930</v>
      </c>
      <c r="C362" t="s">
        <v>33</v>
      </c>
      <c r="D362" t="s">
        <v>40</v>
      </c>
      <c r="E362" s="6">
        <v>32701</v>
      </c>
      <c r="F362">
        <v>5</v>
      </c>
      <c r="G362" t="str">
        <f>PROPER(TRIM(Table1[[#This Row],[Product]]))</f>
        <v>Headphones</v>
      </c>
      <c r="H362" t="str">
        <f>PROPER(TRIM(Table1[[#This Row],[Region]]))</f>
        <v>South</v>
      </c>
      <c r="I362" s="6">
        <f>Table1[[#This Row],[Sales]]*Table1[[#This Row],[Quantity]]</f>
        <v>163505</v>
      </c>
    </row>
    <row r="363" spans="1:9" x14ac:dyDescent="0.35">
      <c r="A363" t="s">
        <v>368</v>
      </c>
      <c r="B363" s="1">
        <v>45222</v>
      </c>
      <c r="C363" t="s">
        <v>18</v>
      </c>
      <c r="D363" t="s">
        <v>40</v>
      </c>
      <c r="E363" s="6">
        <v>34901</v>
      </c>
      <c r="F363">
        <v>6</v>
      </c>
      <c r="G363" t="str">
        <f>PROPER(TRIM(Table1[[#This Row],[Product]]))</f>
        <v>Headphones</v>
      </c>
      <c r="H363" t="str">
        <f>PROPER(TRIM(Table1[[#This Row],[Region]]))</f>
        <v>East</v>
      </c>
      <c r="I363" s="6">
        <f>Table1[[#This Row],[Sales]]*Table1[[#This Row],[Quantity]]</f>
        <v>209406</v>
      </c>
    </row>
    <row r="364" spans="1:9" x14ac:dyDescent="0.35">
      <c r="A364" t="s">
        <v>369</v>
      </c>
      <c r="B364" s="1">
        <v>45044</v>
      </c>
      <c r="C364" t="s">
        <v>18</v>
      </c>
      <c r="D364" t="s">
        <v>28</v>
      </c>
      <c r="E364" s="6">
        <v>30877</v>
      </c>
      <c r="F364">
        <v>5</v>
      </c>
      <c r="G364" t="str">
        <f>PROPER(TRIM(Table1[[#This Row],[Product]]))</f>
        <v>Phone</v>
      </c>
      <c r="H364" t="str">
        <f>PROPER(TRIM(Table1[[#This Row],[Region]]))</f>
        <v>East</v>
      </c>
      <c r="I364" s="6">
        <f>Table1[[#This Row],[Sales]]*Table1[[#This Row],[Quantity]]</f>
        <v>154385</v>
      </c>
    </row>
    <row r="365" spans="1:9" x14ac:dyDescent="0.35">
      <c r="A365" t="s">
        <v>370</v>
      </c>
      <c r="B365" s="1">
        <v>45072</v>
      </c>
      <c r="C365" t="s">
        <v>8</v>
      </c>
      <c r="D365" t="s">
        <v>25</v>
      </c>
      <c r="E365" s="6">
        <v>42749</v>
      </c>
      <c r="F365">
        <v>4</v>
      </c>
      <c r="G365" t="str">
        <f>PROPER(TRIM(Table1[[#This Row],[Product]]))</f>
        <v>Tablet</v>
      </c>
      <c r="H365" t="str">
        <f>PROPER(TRIM(Table1[[#This Row],[Region]]))</f>
        <v>North</v>
      </c>
      <c r="I365" s="6">
        <f>Table1[[#This Row],[Sales]]*Table1[[#This Row],[Quantity]]</f>
        <v>170996</v>
      </c>
    </row>
    <row r="366" spans="1:9" x14ac:dyDescent="0.35">
      <c r="A366" t="s">
        <v>371</v>
      </c>
      <c r="B366" s="1">
        <v>44993</v>
      </c>
      <c r="C366" t="s">
        <v>30</v>
      </c>
      <c r="D366" t="s">
        <v>13</v>
      </c>
      <c r="E366" s="6">
        <v>22815</v>
      </c>
      <c r="F366">
        <v>1</v>
      </c>
      <c r="G366" t="str">
        <f>PROPER(TRIM(Table1[[#This Row],[Product]]))</f>
        <v>Laptop</v>
      </c>
      <c r="H366" t="str">
        <f>PROPER(TRIM(Table1[[#This Row],[Region]]))</f>
        <v>West</v>
      </c>
      <c r="I366" s="6">
        <f>Table1[[#This Row],[Sales]]*Table1[[#This Row],[Quantity]]</f>
        <v>22815</v>
      </c>
    </row>
    <row r="367" spans="1:9" x14ac:dyDescent="0.35">
      <c r="A367" t="s">
        <v>372</v>
      </c>
      <c r="B367" s="1">
        <v>45022</v>
      </c>
      <c r="C367" t="s">
        <v>18</v>
      </c>
      <c r="D367" t="s">
        <v>25</v>
      </c>
      <c r="E367" s="6">
        <v>21712</v>
      </c>
      <c r="F367">
        <v>10</v>
      </c>
      <c r="G367" t="str">
        <f>PROPER(TRIM(Table1[[#This Row],[Product]]))</f>
        <v>Tablet</v>
      </c>
      <c r="H367" t="str">
        <f>PROPER(TRIM(Table1[[#This Row],[Region]]))</f>
        <v>East</v>
      </c>
      <c r="I367" s="6">
        <f>Table1[[#This Row],[Sales]]*Table1[[#This Row],[Quantity]]</f>
        <v>217120</v>
      </c>
    </row>
    <row r="368" spans="1:9" x14ac:dyDescent="0.35">
      <c r="A368" t="s">
        <v>373</v>
      </c>
      <c r="B368" s="1">
        <v>45080</v>
      </c>
      <c r="C368" t="s">
        <v>33</v>
      </c>
      <c r="D368" t="s">
        <v>25</v>
      </c>
      <c r="E368" s="6">
        <v>428</v>
      </c>
      <c r="F368">
        <v>10</v>
      </c>
      <c r="G368" t="str">
        <f>PROPER(TRIM(Table1[[#This Row],[Product]]))</f>
        <v>Tablet</v>
      </c>
      <c r="H368" t="str">
        <f>PROPER(TRIM(Table1[[#This Row],[Region]]))</f>
        <v>South</v>
      </c>
      <c r="I368" s="6">
        <f>Table1[[#This Row],[Sales]]*Table1[[#This Row],[Quantity]]</f>
        <v>4280</v>
      </c>
    </row>
    <row r="369" spans="1:9" x14ac:dyDescent="0.35">
      <c r="A369" t="s">
        <v>374</v>
      </c>
      <c r="B369" s="1">
        <v>45041</v>
      </c>
      <c r="C369" t="s">
        <v>8</v>
      </c>
      <c r="D369" t="s">
        <v>28</v>
      </c>
      <c r="E369" s="6">
        <v>5998</v>
      </c>
      <c r="F369">
        <v>4</v>
      </c>
      <c r="G369" t="str">
        <f>PROPER(TRIM(Table1[[#This Row],[Product]]))</f>
        <v>Phone</v>
      </c>
      <c r="H369" t="str">
        <f>PROPER(TRIM(Table1[[#This Row],[Region]]))</f>
        <v>North</v>
      </c>
      <c r="I369" s="6">
        <f>Table1[[#This Row],[Sales]]*Table1[[#This Row],[Quantity]]</f>
        <v>23992</v>
      </c>
    </row>
    <row r="370" spans="1:9" x14ac:dyDescent="0.35">
      <c r="A370" t="s">
        <v>375</v>
      </c>
      <c r="B370" s="1">
        <v>45267</v>
      </c>
      <c r="C370" t="s">
        <v>8</v>
      </c>
      <c r="D370" t="s">
        <v>31</v>
      </c>
      <c r="E370" s="6">
        <v>47380</v>
      </c>
      <c r="F370">
        <v>7</v>
      </c>
      <c r="G370" t="str">
        <f>PROPER(TRIM(Table1[[#This Row],[Product]]))</f>
        <v>Monitor</v>
      </c>
      <c r="H370" t="str">
        <f>PROPER(TRIM(Table1[[#This Row],[Region]]))</f>
        <v>North</v>
      </c>
      <c r="I370" s="6">
        <f>Table1[[#This Row],[Sales]]*Table1[[#This Row],[Quantity]]</f>
        <v>331660</v>
      </c>
    </row>
    <row r="371" spans="1:9" x14ac:dyDescent="0.35">
      <c r="A371" t="s">
        <v>376</v>
      </c>
      <c r="B371" s="1">
        <v>45149</v>
      </c>
      <c r="C371" t="s">
        <v>8</v>
      </c>
      <c r="D371" t="s">
        <v>13</v>
      </c>
      <c r="E371" s="6">
        <v>49065</v>
      </c>
      <c r="F371">
        <v>3</v>
      </c>
      <c r="G371" t="str">
        <f>PROPER(TRIM(Table1[[#This Row],[Product]]))</f>
        <v>Laptop</v>
      </c>
      <c r="H371" t="str">
        <f>PROPER(TRIM(Table1[[#This Row],[Region]]))</f>
        <v>North</v>
      </c>
      <c r="I371" s="6">
        <f>Table1[[#This Row],[Sales]]*Table1[[#This Row],[Quantity]]</f>
        <v>147195</v>
      </c>
    </row>
    <row r="372" spans="1:9" x14ac:dyDescent="0.35">
      <c r="A372" t="s">
        <v>377</v>
      </c>
      <c r="B372" s="1">
        <v>45266</v>
      </c>
      <c r="C372" t="s">
        <v>30</v>
      </c>
      <c r="D372" t="s">
        <v>28</v>
      </c>
      <c r="E372" s="6">
        <v>35455</v>
      </c>
      <c r="F372">
        <v>8</v>
      </c>
      <c r="G372" t="str">
        <f>PROPER(TRIM(Table1[[#This Row],[Product]]))</f>
        <v>Phone</v>
      </c>
      <c r="H372" t="str">
        <f>PROPER(TRIM(Table1[[#This Row],[Region]]))</f>
        <v>West</v>
      </c>
      <c r="I372" s="6">
        <f>Table1[[#This Row],[Sales]]*Table1[[#This Row],[Quantity]]</f>
        <v>283640</v>
      </c>
    </row>
    <row r="373" spans="1:9" x14ac:dyDescent="0.35">
      <c r="A373" t="s">
        <v>378</v>
      </c>
      <c r="B373" s="1">
        <v>45032</v>
      </c>
      <c r="C373" t="s">
        <v>30</v>
      </c>
      <c r="D373" t="s">
        <v>40</v>
      </c>
      <c r="E373" s="6">
        <v>46151</v>
      </c>
      <c r="F373">
        <v>6</v>
      </c>
      <c r="G373" t="str">
        <f>PROPER(TRIM(Table1[[#This Row],[Product]]))</f>
        <v>Headphones</v>
      </c>
      <c r="H373" t="str">
        <f>PROPER(TRIM(Table1[[#This Row],[Region]]))</f>
        <v>West</v>
      </c>
      <c r="I373" s="6">
        <f>Table1[[#This Row],[Sales]]*Table1[[#This Row],[Quantity]]</f>
        <v>276906</v>
      </c>
    </row>
    <row r="374" spans="1:9" x14ac:dyDescent="0.35">
      <c r="A374" t="s">
        <v>379</v>
      </c>
      <c r="B374" s="1">
        <v>44943</v>
      </c>
      <c r="C374" t="s">
        <v>33</v>
      </c>
      <c r="D374" t="s">
        <v>40</v>
      </c>
      <c r="E374" s="6">
        <v>17232</v>
      </c>
      <c r="F374">
        <v>2</v>
      </c>
      <c r="G374" t="str">
        <f>PROPER(TRIM(Table1[[#This Row],[Product]]))</f>
        <v>Headphones</v>
      </c>
      <c r="H374" t="str">
        <f>PROPER(TRIM(Table1[[#This Row],[Region]]))</f>
        <v>South</v>
      </c>
      <c r="I374" s="6">
        <f>Table1[[#This Row],[Sales]]*Table1[[#This Row],[Quantity]]</f>
        <v>34464</v>
      </c>
    </row>
    <row r="375" spans="1:9" x14ac:dyDescent="0.35">
      <c r="A375" t="s">
        <v>380</v>
      </c>
      <c r="B375" s="1">
        <v>45136</v>
      </c>
      <c r="C375" t="s">
        <v>30</v>
      </c>
      <c r="D375" t="s">
        <v>31</v>
      </c>
      <c r="E375" s="6">
        <v>25876</v>
      </c>
      <c r="F375">
        <v>7</v>
      </c>
      <c r="G375" t="str">
        <f>PROPER(TRIM(Table1[[#This Row],[Product]]))</f>
        <v>Monitor</v>
      </c>
      <c r="H375" t="str">
        <f>PROPER(TRIM(Table1[[#This Row],[Region]]))</f>
        <v>West</v>
      </c>
      <c r="I375" s="6">
        <f>Table1[[#This Row],[Sales]]*Table1[[#This Row],[Quantity]]</f>
        <v>181132</v>
      </c>
    </row>
    <row r="376" spans="1:9" x14ac:dyDescent="0.35">
      <c r="A376" t="s">
        <v>381</v>
      </c>
      <c r="B376" s="1">
        <v>44952</v>
      </c>
      <c r="C376" t="s">
        <v>8</v>
      </c>
      <c r="D376" t="s">
        <v>40</v>
      </c>
      <c r="E376" s="6">
        <v>33307</v>
      </c>
      <c r="F376">
        <v>4</v>
      </c>
      <c r="G376" t="str">
        <f>PROPER(TRIM(Table1[[#This Row],[Product]]))</f>
        <v>Headphones</v>
      </c>
      <c r="H376" t="str">
        <f>PROPER(TRIM(Table1[[#This Row],[Region]]))</f>
        <v>North</v>
      </c>
      <c r="I376" s="6">
        <f>Table1[[#This Row],[Sales]]*Table1[[#This Row],[Quantity]]</f>
        <v>133228</v>
      </c>
    </row>
    <row r="377" spans="1:9" x14ac:dyDescent="0.35">
      <c r="A377" t="s">
        <v>382</v>
      </c>
      <c r="B377" s="1">
        <v>45028</v>
      </c>
      <c r="C377" t="s">
        <v>33</v>
      </c>
      <c r="D377" t="s">
        <v>25</v>
      </c>
      <c r="E377" s="6">
        <v>14471</v>
      </c>
      <c r="F377">
        <v>10</v>
      </c>
      <c r="G377" t="str">
        <f>PROPER(TRIM(Table1[[#This Row],[Product]]))</f>
        <v>Tablet</v>
      </c>
      <c r="H377" t="str">
        <f>PROPER(TRIM(Table1[[#This Row],[Region]]))</f>
        <v>South</v>
      </c>
      <c r="I377" s="6">
        <f>Table1[[#This Row],[Sales]]*Table1[[#This Row],[Quantity]]</f>
        <v>144710</v>
      </c>
    </row>
    <row r="378" spans="1:9" x14ac:dyDescent="0.35">
      <c r="A378" t="s">
        <v>383</v>
      </c>
      <c r="B378" s="1">
        <v>45252</v>
      </c>
      <c r="C378" t="s">
        <v>8</v>
      </c>
      <c r="D378" t="s">
        <v>31</v>
      </c>
      <c r="E378" s="6">
        <v>19854</v>
      </c>
      <c r="F378">
        <v>8</v>
      </c>
      <c r="G378" t="str">
        <f>PROPER(TRIM(Table1[[#This Row],[Product]]))</f>
        <v>Monitor</v>
      </c>
      <c r="H378" t="str">
        <f>PROPER(TRIM(Table1[[#This Row],[Region]]))</f>
        <v>North</v>
      </c>
      <c r="I378" s="6">
        <f>Table1[[#This Row],[Sales]]*Table1[[#This Row],[Quantity]]</f>
        <v>158832</v>
      </c>
    </row>
    <row r="379" spans="1:9" x14ac:dyDescent="0.35">
      <c r="A379" t="s">
        <v>384</v>
      </c>
      <c r="B379" s="1">
        <v>44958</v>
      </c>
      <c r="C379" t="s">
        <v>30</v>
      </c>
      <c r="D379" t="s">
        <v>31</v>
      </c>
      <c r="E379" s="6">
        <v>45758</v>
      </c>
      <c r="F379">
        <v>6</v>
      </c>
      <c r="G379" t="str">
        <f>PROPER(TRIM(Table1[[#This Row],[Product]]))</f>
        <v>Monitor</v>
      </c>
      <c r="H379" t="str">
        <f>PROPER(TRIM(Table1[[#This Row],[Region]]))</f>
        <v>West</v>
      </c>
      <c r="I379" s="6">
        <f>Table1[[#This Row],[Sales]]*Table1[[#This Row],[Quantity]]</f>
        <v>274548</v>
      </c>
    </row>
    <row r="380" spans="1:9" x14ac:dyDescent="0.35">
      <c r="A380" t="s">
        <v>385</v>
      </c>
      <c r="B380" s="1">
        <v>45181</v>
      </c>
      <c r="C380" t="s">
        <v>33</v>
      </c>
      <c r="D380" t="s">
        <v>25</v>
      </c>
      <c r="E380" s="6">
        <v>2355</v>
      </c>
      <c r="F380">
        <v>2</v>
      </c>
      <c r="G380" t="str">
        <f>PROPER(TRIM(Table1[[#This Row],[Product]]))</f>
        <v>Tablet</v>
      </c>
      <c r="H380" t="str">
        <f>PROPER(TRIM(Table1[[#This Row],[Region]]))</f>
        <v>South</v>
      </c>
      <c r="I380" s="6">
        <f>Table1[[#This Row],[Sales]]*Table1[[#This Row],[Quantity]]</f>
        <v>4710</v>
      </c>
    </row>
    <row r="381" spans="1:9" x14ac:dyDescent="0.35">
      <c r="A381" t="s">
        <v>386</v>
      </c>
      <c r="B381" s="1">
        <v>44937</v>
      </c>
      <c r="C381" t="s">
        <v>33</v>
      </c>
      <c r="D381" t="s">
        <v>25</v>
      </c>
      <c r="E381" s="6">
        <v>23179</v>
      </c>
      <c r="F381">
        <v>4</v>
      </c>
      <c r="G381" t="str">
        <f>PROPER(TRIM(Table1[[#This Row],[Product]]))</f>
        <v>Tablet</v>
      </c>
      <c r="H381" t="str">
        <f>PROPER(TRIM(Table1[[#This Row],[Region]]))</f>
        <v>South</v>
      </c>
      <c r="I381" s="6">
        <f>Table1[[#This Row],[Sales]]*Table1[[#This Row],[Quantity]]</f>
        <v>92716</v>
      </c>
    </row>
    <row r="382" spans="1:9" x14ac:dyDescent="0.35">
      <c r="A382" t="s">
        <v>387</v>
      </c>
      <c r="B382" s="1">
        <v>45001</v>
      </c>
      <c r="C382" t="s">
        <v>33</v>
      </c>
      <c r="D382" t="s">
        <v>31</v>
      </c>
      <c r="E382" s="6">
        <v>29727</v>
      </c>
      <c r="F382">
        <v>9</v>
      </c>
      <c r="G382" t="str">
        <f>PROPER(TRIM(Table1[[#This Row],[Product]]))</f>
        <v>Monitor</v>
      </c>
      <c r="H382" t="str">
        <f>PROPER(TRIM(Table1[[#This Row],[Region]]))</f>
        <v>South</v>
      </c>
      <c r="I382" s="6">
        <f>Table1[[#This Row],[Sales]]*Table1[[#This Row],[Quantity]]</f>
        <v>267543</v>
      </c>
    </row>
    <row r="383" spans="1:9" x14ac:dyDescent="0.35">
      <c r="A383" t="s">
        <v>388</v>
      </c>
      <c r="B383" s="1">
        <v>45150</v>
      </c>
      <c r="C383" t="s">
        <v>30</v>
      </c>
      <c r="D383" t="s">
        <v>31</v>
      </c>
      <c r="E383" s="6">
        <v>18058</v>
      </c>
      <c r="F383">
        <v>8</v>
      </c>
      <c r="G383" t="str">
        <f>PROPER(TRIM(Table1[[#This Row],[Product]]))</f>
        <v>Monitor</v>
      </c>
      <c r="H383" t="str">
        <f>PROPER(TRIM(Table1[[#This Row],[Region]]))</f>
        <v>West</v>
      </c>
      <c r="I383" s="6">
        <f>Table1[[#This Row],[Sales]]*Table1[[#This Row],[Quantity]]</f>
        <v>144464</v>
      </c>
    </row>
    <row r="384" spans="1:9" x14ac:dyDescent="0.35">
      <c r="A384" t="s">
        <v>389</v>
      </c>
      <c r="B384" s="1">
        <v>45148</v>
      </c>
      <c r="C384" t="s">
        <v>18</v>
      </c>
      <c r="D384" t="s">
        <v>28</v>
      </c>
      <c r="E384" s="6">
        <v>26344</v>
      </c>
      <c r="F384">
        <v>5</v>
      </c>
      <c r="G384" t="str">
        <f>PROPER(TRIM(Table1[[#This Row],[Product]]))</f>
        <v>Phone</v>
      </c>
      <c r="H384" t="str">
        <f>PROPER(TRIM(Table1[[#This Row],[Region]]))</f>
        <v>East</v>
      </c>
      <c r="I384" s="6">
        <f>Table1[[#This Row],[Sales]]*Table1[[#This Row],[Quantity]]</f>
        <v>131720</v>
      </c>
    </row>
    <row r="385" spans="1:9" x14ac:dyDescent="0.35">
      <c r="A385" t="s">
        <v>390</v>
      </c>
      <c r="B385" s="1">
        <v>45016</v>
      </c>
      <c r="C385" t="s">
        <v>30</v>
      </c>
      <c r="D385" t="s">
        <v>40</v>
      </c>
      <c r="E385" s="6">
        <v>28231</v>
      </c>
      <c r="F385">
        <v>2</v>
      </c>
      <c r="G385" t="str">
        <f>PROPER(TRIM(Table1[[#This Row],[Product]]))</f>
        <v>Headphones</v>
      </c>
      <c r="H385" t="str">
        <f>PROPER(TRIM(Table1[[#This Row],[Region]]))</f>
        <v>West</v>
      </c>
      <c r="I385" s="6">
        <f>Table1[[#This Row],[Sales]]*Table1[[#This Row],[Quantity]]</f>
        <v>56462</v>
      </c>
    </row>
    <row r="386" spans="1:9" x14ac:dyDescent="0.35">
      <c r="A386" t="s">
        <v>391</v>
      </c>
      <c r="B386" s="1">
        <v>44997</v>
      </c>
      <c r="C386" t="s">
        <v>18</v>
      </c>
      <c r="D386" t="s">
        <v>25</v>
      </c>
      <c r="E386" s="6">
        <v>47753</v>
      </c>
      <c r="F386">
        <v>6</v>
      </c>
      <c r="G386" t="str">
        <f>PROPER(TRIM(Table1[[#This Row],[Product]]))</f>
        <v>Tablet</v>
      </c>
      <c r="H386" t="str">
        <f>PROPER(TRIM(Table1[[#This Row],[Region]]))</f>
        <v>East</v>
      </c>
      <c r="I386" s="6">
        <f>Table1[[#This Row],[Sales]]*Table1[[#This Row],[Quantity]]</f>
        <v>286518</v>
      </c>
    </row>
    <row r="387" spans="1:9" x14ac:dyDescent="0.35">
      <c r="A387" t="s">
        <v>392</v>
      </c>
      <c r="B387" s="1">
        <v>44987</v>
      </c>
      <c r="C387" t="s">
        <v>33</v>
      </c>
      <c r="D387" t="s">
        <v>31</v>
      </c>
      <c r="E387" s="6">
        <v>25963</v>
      </c>
      <c r="F387">
        <v>5</v>
      </c>
      <c r="G387" t="str">
        <f>PROPER(TRIM(Table1[[#This Row],[Product]]))</f>
        <v>Monitor</v>
      </c>
      <c r="H387" t="str">
        <f>PROPER(TRIM(Table1[[#This Row],[Region]]))</f>
        <v>South</v>
      </c>
      <c r="I387" s="6">
        <f>Table1[[#This Row],[Sales]]*Table1[[#This Row],[Quantity]]</f>
        <v>129815</v>
      </c>
    </row>
    <row r="388" spans="1:9" x14ac:dyDescent="0.35">
      <c r="A388" t="s">
        <v>393</v>
      </c>
      <c r="B388" s="1">
        <v>45255</v>
      </c>
      <c r="C388" t="s">
        <v>8</v>
      </c>
      <c r="D388" t="s">
        <v>28</v>
      </c>
      <c r="E388" s="6">
        <v>564</v>
      </c>
      <c r="F388">
        <v>3</v>
      </c>
      <c r="G388" t="str">
        <f>PROPER(TRIM(Table1[[#This Row],[Product]]))</f>
        <v>Phone</v>
      </c>
      <c r="H388" t="str">
        <f>PROPER(TRIM(Table1[[#This Row],[Region]]))</f>
        <v>North</v>
      </c>
      <c r="I388" s="6">
        <f>Table1[[#This Row],[Sales]]*Table1[[#This Row],[Quantity]]</f>
        <v>1692</v>
      </c>
    </row>
    <row r="389" spans="1:9" x14ac:dyDescent="0.35">
      <c r="A389" t="s">
        <v>394</v>
      </c>
      <c r="B389" s="1">
        <v>45045</v>
      </c>
      <c r="C389" t="s">
        <v>33</v>
      </c>
      <c r="D389" t="s">
        <v>31</v>
      </c>
      <c r="E389" s="6">
        <v>38948</v>
      </c>
      <c r="F389">
        <v>5</v>
      </c>
      <c r="G389" t="str">
        <f>PROPER(TRIM(Table1[[#This Row],[Product]]))</f>
        <v>Monitor</v>
      </c>
      <c r="H389" t="str">
        <f>PROPER(TRIM(Table1[[#This Row],[Region]]))</f>
        <v>South</v>
      </c>
      <c r="I389" s="6">
        <f>Table1[[#This Row],[Sales]]*Table1[[#This Row],[Quantity]]</f>
        <v>194740</v>
      </c>
    </row>
    <row r="390" spans="1:9" x14ac:dyDescent="0.35">
      <c r="A390" t="s">
        <v>395</v>
      </c>
      <c r="B390" s="1">
        <v>45220</v>
      </c>
      <c r="C390" t="s">
        <v>30</v>
      </c>
      <c r="D390" t="s">
        <v>28</v>
      </c>
      <c r="E390" s="6">
        <v>29656</v>
      </c>
      <c r="F390">
        <v>4</v>
      </c>
      <c r="G390" t="str">
        <f>PROPER(TRIM(Table1[[#This Row],[Product]]))</f>
        <v>Phone</v>
      </c>
      <c r="H390" t="str">
        <f>PROPER(TRIM(Table1[[#This Row],[Region]]))</f>
        <v>West</v>
      </c>
      <c r="I390" s="6">
        <f>Table1[[#This Row],[Sales]]*Table1[[#This Row],[Quantity]]</f>
        <v>118624</v>
      </c>
    </row>
    <row r="391" spans="1:9" x14ac:dyDescent="0.35">
      <c r="A391" t="s">
        <v>396</v>
      </c>
      <c r="B391" s="1">
        <v>45036</v>
      </c>
      <c r="C391" t="s">
        <v>18</v>
      </c>
      <c r="D391" t="s">
        <v>31</v>
      </c>
      <c r="E391" s="6">
        <v>12333</v>
      </c>
      <c r="F391">
        <v>5</v>
      </c>
      <c r="G391" t="str">
        <f>PROPER(TRIM(Table1[[#This Row],[Product]]))</f>
        <v>Monitor</v>
      </c>
      <c r="H391" t="str">
        <f>PROPER(TRIM(Table1[[#This Row],[Region]]))</f>
        <v>East</v>
      </c>
      <c r="I391" s="6">
        <f>Table1[[#This Row],[Sales]]*Table1[[#This Row],[Quantity]]</f>
        <v>61665</v>
      </c>
    </row>
    <row r="392" spans="1:9" x14ac:dyDescent="0.35">
      <c r="A392" t="s">
        <v>396</v>
      </c>
      <c r="B392" s="1">
        <v>45036</v>
      </c>
      <c r="C392" t="s">
        <v>18</v>
      </c>
      <c r="D392" t="s">
        <v>31</v>
      </c>
      <c r="E392" s="6">
        <v>12333</v>
      </c>
      <c r="F392">
        <v>5</v>
      </c>
      <c r="G392" t="str">
        <f>PROPER(TRIM(Table1[[#This Row],[Product]]))</f>
        <v>Monitor</v>
      </c>
      <c r="H392" t="str">
        <f>PROPER(TRIM(Table1[[#This Row],[Region]]))</f>
        <v>East</v>
      </c>
      <c r="I392" s="6">
        <f>Table1[[#This Row],[Sales]]*Table1[[#This Row],[Quantity]]</f>
        <v>61665</v>
      </c>
    </row>
    <row r="393" spans="1:9" x14ac:dyDescent="0.35">
      <c r="A393" t="s">
        <v>397</v>
      </c>
      <c r="B393" s="1">
        <v>45166</v>
      </c>
      <c r="C393" t="s">
        <v>30</v>
      </c>
      <c r="D393" t="s">
        <v>13</v>
      </c>
      <c r="E393" s="6">
        <v>32972</v>
      </c>
      <c r="F393">
        <v>9</v>
      </c>
      <c r="G393" t="str">
        <f>PROPER(TRIM(Table1[[#This Row],[Product]]))</f>
        <v>Laptop</v>
      </c>
      <c r="H393" t="str">
        <f>PROPER(TRIM(Table1[[#This Row],[Region]]))</f>
        <v>West</v>
      </c>
      <c r="I393" s="6">
        <f>Table1[[#This Row],[Sales]]*Table1[[#This Row],[Quantity]]</f>
        <v>296748</v>
      </c>
    </row>
    <row r="394" spans="1:9" x14ac:dyDescent="0.35">
      <c r="A394" t="s">
        <v>398</v>
      </c>
      <c r="B394" s="1">
        <v>45207</v>
      </c>
      <c r="C394" t="s">
        <v>8</v>
      </c>
      <c r="D394" t="s">
        <v>13</v>
      </c>
      <c r="E394" s="6">
        <v>2231</v>
      </c>
      <c r="F394">
        <v>6</v>
      </c>
      <c r="G394" t="str">
        <f>PROPER(TRIM(Table1[[#This Row],[Product]]))</f>
        <v>Laptop</v>
      </c>
      <c r="H394" t="str">
        <f>PROPER(TRIM(Table1[[#This Row],[Region]]))</f>
        <v>North</v>
      </c>
      <c r="I394" s="6">
        <f>Table1[[#This Row],[Sales]]*Table1[[#This Row],[Quantity]]</f>
        <v>13386</v>
      </c>
    </row>
    <row r="395" spans="1:9" x14ac:dyDescent="0.35">
      <c r="A395" t="s">
        <v>399</v>
      </c>
      <c r="B395" s="1">
        <v>45251</v>
      </c>
      <c r="C395" t="s">
        <v>30</v>
      </c>
      <c r="D395" t="s">
        <v>31</v>
      </c>
      <c r="E395" s="6">
        <v>3459</v>
      </c>
      <c r="F395">
        <v>9</v>
      </c>
      <c r="G395" t="str">
        <f>PROPER(TRIM(Table1[[#This Row],[Product]]))</f>
        <v>Monitor</v>
      </c>
      <c r="H395" t="str">
        <f>PROPER(TRIM(Table1[[#This Row],[Region]]))</f>
        <v>West</v>
      </c>
      <c r="I395" s="6">
        <f>Table1[[#This Row],[Sales]]*Table1[[#This Row],[Quantity]]</f>
        <v>31131</v>
      </c>
    </row>
    <row r="396" spans="1:9" x14ac:dyDescent="0.35">
      <c r="A396" t="s">
        <v>400</v>
      </c>
      <c r="B396" s="1">
        <v>45004</v>
      </c>
      <c r="C396" t="s">
        <v>18</v>
      </c>
      <c r="D396" t="s">
        <v>31</v>
      </c>
      <c r="E396" s="6">
        <v>8640</v>
      </c>
      <c r="F396">
        <v>4</v>
      </c>
      <c r="G396" t="str">
        <f>PROPER(TRIM(Table1[[#This Row],[Product]]))</f>
        <v>Monitor</v>
      </c>
      <c r="H396" t="str">
        <f>PROPER(TRIM(Table1[[#This Row],[Region]]))</f>
        <v>East</v>
      </c>
      <c r="I396" s="6">
        <f>Table1[[#This Row],[Sales]]*Table1[[#This Row],[Quantity]]</f>
        <v>34560</v>
      </c>
    </row>
    <row r="397" spans="1:9" x14ac:dyDescent="0.35">
      <c r="A397" t="s">
        <v>401</v>
      </c>
      <c r="B397" s="1">
        <v>45143</v>
      </c>
      <c r="C397" t="s">
        <v>30</v>
      </c>
      <c r="D397" t="s">
        <v>31</v>
      </c>
      <c r="E397" s="6">
        <v>22429</v>
      </c>
      <c r="F397">
        <v>9</v>
      </c>
      <c r="G397" t="str">
        <f>PROPER(TRIM(Table1[[#This Row],[Product]]))</f>
        <v>Monitor</v>
      </c>
      <c r="H397" t="str">
        <f>PROPER(TRIM(Table1[[#This Row],[Region]]))</f>
        <v>West</v>
      </c>
      <c r="I397" s="6">
        <f>Table1[[#This Row],[Sales]]*Table1[[#This Row],[Quantity]]</f>
        <v>201861</v>
      </c>
    </row>
    <row r="398" spans="1:9" x14ac:dyDescent="0.35">
      <c r="A398" t="s">
        <v>402</v>
      </c>
      <c r="B398" s="1">
        <v>44996</v>
      </c>
      <c r="C398" t="s">
        <v>33</v>
      </c>
      <c r="D398" t="s">
        <v>25</v>
      </c>
      <c r="E398" s="6">
        <v>32267</v>
      </c>
      <c r="F398">
        <v>1</v>
      </c>
      <c r="G398" t="str">
        <f>PROPER(TRIM(Table1[[#This Row],[Product]]))</f>
        <v>Tablet</v>
      </c>
      <c r="H398" t="str">
        <f>PROPER(TRIM(Table1[[#This Row],[Region]]))</f>
        <v>South</v>
      </c>
      <c r="I398" s="6">
        <f>Table1[[#This Row],[Sales]]*Table1[[#This Row],[Quantity]]</f>
        <v>32267</v>
      </c>
    </row>
    <row r="399" spans="1:9" x14ac:dyDescent="0.35">
      <c r="A399" t="s">
        <v>403</v>
      </c>
      <c r="B399" s="1">
        <v>45135</v>
      </c>
      <c r="C399" t="s">
        <v>18</v>
      </c>
      <c r="D399" t="s">
        <v>25</v>
      </c>
      <c r="E399" s="6">
        <v>42701</v>
      </c>
      <c r="F399">
        <v>6</v>
      </c>
      <c r="G399" t="str">
        <f>PROPER(TRIM(Table1[[#This Row],[Product]]))</f>
        <v>Tablet</v>
      </c>
      <c r="H399" t="str">
        <f>PROPER(TRIM(Table1[[#This Row],[Region]]))</f>
        <v>East</v>
      </c>
      <c r="I399" s="6">
        <f>Table1[[#This Row],[Sales]]*Table1[[#This Row],[Quantity]]</f>
        <v>256206</v>
      </c>
    </row>
    <row r="400" spans="1:9" x14ac:dyDescent="0.35">
      <c r="A400" t="s">
        <v>404</v>
      </c>
      <c r="B400" s="1">
        <v>45039</v>
      </c>
      <c r="C400" t="s">
        <v>33</v>
      </c>
      <c r="D400" t="s">
        <v>13</v>
      </c>
      <c r="E400" s="6">
        <v>2562</v>
      </c>
      <c r="F400">
        <v>5</v>
      </c>
      <c r="G400" t="str">
        <f>PROPER(TRIM(Table1[[#This Row],[Product]]))</f>
        <v>Laptop</v>
      </c>
      <c r="H400" t="str">
        <f>PROPER(TRIM(Table1[[#This Row],[Region]]))</f>
        <v>South</v>
      </c>
      <c r="I400" s="6">
        <f>Table1[[#This Row],[Sales]]*Table1[[#This Row],[Quantity]]</f>
        <v>12810</v>
      </c>
    </row>
    <row r="401" spans="1:9" x14ac:dyDescent="0.35">
      <c r="A401" t="s">
        <v>405</v>
      </c>
      <c r="B401" s="1">
        <v>45008</v>
      </c>
      <c r="C401" t="s">
        <v>18</v>
      </c>
      <c r="D401" t="s">
        <v>31</v>
      </c>
      <c r="E401" s="6">
        <v>12649</v>
      </c>
      <c r="F401">
        <v>6</v>
      </c>
      <c r="G401" t="str">
        <f>PROPER(TRIM(Table1[[#This Row],[Product]]))</f>
        <v>Monitor</v>
      </c>
      <c r="H401" t="str">
        <f>PROPER(TRIM(Table1[[#This Row],[Region]]))</f>
        <v>East</v>
      </c>
      <c r="I401" s="6">
        <f>Table1[[#This Row],[Sales]]*Table1[[#This Row],[Quantity]]</f>
        <v>75894</v>
      </c>
    </row>
    <row r="402" spans="1:9" x14ac:dyDescent="0.35">
      <c r="A402" t="s">
        <v>406</v>
      </c>
      <c r="B402" s="1">
        <v>45147</v>
      </c>
      <c r="C402" t="s">
        <v>18</v>
      </c>
      <c r="D402" t="s">
        <v>13</v>
      </c>
      <c r="E402" s="6">
        <v>14439</v>
      </c>
      <c r="F402">
        <v>9</v>
      </c>
      <c r="G402" t="str">
        <f>PROPER(TRIM(Table1[[#This Row],[Product]]))</f>
        <v>Laptop</v>
      </c>
      <c r="H402" t="str">
        <f>PROPER(TRIM(Table1[[#This Row],[Region]]))</f>
        <v>East</v>
      </c>
      <c r="I402" s="6">
        <f>Table1[[#This Row],[Sales]]*Table1[[#This Row],[Quantity]]</f>
        <v>129951</v>
      </c>
    </row>
    <row r="403" spans="1:9" x14ac:dyDescent="0.35">
      <c r="A403" t="s">
        <v>407</v>
      </c>
      <c r="B403" s="1">
        <v>45257</v>
      </c>
      <c r="C403" t="s">
        <v>33</v>
      </c>
      <c r="D403" t="s">
        <v>25</v>
      </c>
      <c r="E403" s="6">
        <v>29841</v>
      </c>
      <c r="F403">
        <v>7</v>
      </c>
      <c r="G403" t="str">
        <f>PROPER(TRIM(Table1[[#This Row],[Product]]))</f>
        <v>Tablet</v>
      </c>
      <c r="H403" t="str">
        <f>PROPER(TRIM(Table1[[#This Row],[Region]]))</f>
        <v>South</v>
      </c>
      <c r="I403" s="6">
        <f>Table1[[#This Row],[Sales]]*Table1[[#This Row],[Quantity]]</f>
        <v>208887</v>
      </c>
    </row>
    <row r="404" spans="1:9" x14ac:dyDescent="0.35">
      <c r="A404" t="s">
        <v>408</v>
      </c>
      <c r="B404" s="1">
        <v>45183</v>
      </c>
      <c r="C404" t="s">
        <v>33</v>
      </c>
      <c r="D404" t="s">
        <v>28</v>
      </c>
      <c r="E404" s="6">
        <v>42447</v>
      </c>
      <c r="F404">
        <v>4</v>
      </c>
      <c r="G404" t="str">
        <f>PROPER(TRIM(Table1[[#This Row],[Product]]))</f>
        <v>Phone</v>
      </c>
      <c r="H404" t="str">
        <f>PROPER(TRIM(Table1[[#This Row],[Region]]))</f>
        <v>South</v>
      </c>
      <c r="I404" s="6">
        <f>Table1[[#This Row],[Sales]]*Table1[[#This Row],[Quantity]]</f>
        <v>169788</v>
      </c>
    </row>
    <row r="405" spans="1:9" x14ac:dyDescent="0.35">
      <c r="A405" t="s">
        <v>409</v>
      </c>
      <c r="B405" s="1">
        <v>44954</v>
      </c>
      <c r="C405" t="s">
        <v>8</v>
      </c>
      <c r="D405" t="s">
        <v>13</v>
      </c>
      <c r="E405" s="6">
        <v>14559</v>
      </c>
      <c r="F405">
        <v>10</v>
      </c>
      <c r="G405" t="str">
        <f>PROPER(TRIM(Table1[[#This Row],[Product]]))</f>
        <v>Laptop</v>
      </c>
      <c r="H405" t="str">
        <f>PROPER(TRIM(Table1[[#This Row],[Region]]))</f>
        <v>North</v>
      </c>
      <c r="I405" s="6">
        <f>Table1[[#This Row],[Sales]]*Table1[[#This Row],[Quantity]]</f>
        <v>145590</v>
      </c>
    </row>
    <row r="406" spans="1:9" x14ac:dyDescent="0.35">
      <c r="A406" t="s">
        <v>410</v>
      </c>
      <c r="B406" s="1">
        <v>44951</v>
      </c>
      <c r="C406" t="s">
        <v>30</v>
      </c>
      <c r="D406" t="s">
        <v>13</v>
      </c>
      <c r="E406" s="6">
        <v>16845</v>
      </c>
      <c r="F406">
        <v>2</v>
      </c>
      <c r="G406" t="str">
        <f>PROPER(TRIM(Table1[[#This Row],[Product]]))</f>
        <v>Laptop</v>
      </c>
      <c r="H406" t="str">
        <f>PROPER(TRIM(Table1[[#This Row],[Region]]))</f>
        <v>West</v>
      </c>
      <c r="I406" s="6">
        <f>Table1[[#This Row],[Sales]]*Table1[[#This Row],[Quantity]]</f>
        <v>33690</v>
      </c>
    </row>
    <row r="407" spans="1:9" x14ac:dyDescent="0.35">
      <c r="A407" t="s">
        <v>411</v>
      </c>
      <c r="B407" s="1">
        <v>44974</v>
      </c>
      <c r="C407" t="s">
        <v>8</v>
      </c>
      <c r="D407" t="s">
        <v>13</v>
      </c>
      <c r="E407" s="6">
        <v>11930</v>
      </c>
      <c r="F407">
        <v>7</v>
      </c>
      <c r="G407" t="str">
        <f>PROPER(TRIM(Table1[[#This Row],[Product]]))</f>
        <v>Laptop</v>
      </c>
      <c r="H407" t="str">
        <f>PROPER(TRIM(Table1[[#This Row],[Region]]))</f>
        <v>North</v>
      </c>
      <c r="I407" s="6">
        <f>Table1[[#This Row],[Sales]]*Table1[[#This Row],[Quantity]]</f>
        <v>83510</v>
      </c>
    </row>
    <row r="408" spans="1:9" x14ac:dyDescent="0.35">
      <c r="A408" t="s">
        <v>412</v>
      </c>
      <c r="B408" s="1">
        <v>45207</v>
      </c>
      <c r="C408" t="s">
        <v>30</v>
      </c>
      <c r="D408" t="s">
        <v>25</v>
      </c>
      <c r="E408" s="6">
        <v>26811</v>
      </c>
      <c r="F408">
        <v>6</v>
      </c>
      <c r="G408" t="str">
        <f>PROPER(TRIM(Table1[[#This Row],[Product]]))</f>
        <v>Tablet</v>
      </c>
      <c r="H408" t="str">
        <f>PROPER(TRIM(Table1[[#This Row],[Region]]))</f>
        <v>West</v>
      </c>
      <c r="I408" s="6">
        <f>Table1[[#This Row],[Sales]]*Table1[[#This Row],[Quantity]]</f>
        <v>160866</v>
      </c>
    </row>
    <row r="409" spans="1:9" x14ac:dyDescent="0.35">
      <c r="A409" t="s">
        <v>413</v>
      </c>
      <c r="B409" s="1">
        <v>45158</v>
      </c>
      <c r="C409" t="s">
        <v>33</v>
      </c>
      <c r="D409" t="s">
        <v>13</v>
      </c>
      <c r="E409" s="6">
        <v>5849</v>
      </c>
      <c r="F409">
        <v>6</v>
      </c>
      <c r="G409" t="str">
        <f>PROPER(TRIM(Table1[[#This Row],[Product]]))</f>
        <v>Laptop</v>
      </c>
      <c r="H409" t="str">
        <f>PROPER(TRIM(Table1[[#This Row],[Region]]))</f>
        <v>South</v>
      </c>
      <c r="I409" s="6">
        <f>Table1[[#This Row],[Sales]]*Table1[[#This Row],[Quantity]]</f>
        <v>35094</v>
      </c>
    </row>
    <row r="410" spans="1:9" x14ac:dyDescent="0.35">
      <c r="A410" t="s">
        <v>414</v>
      </c>
      <c r="B410" s="1">
        <v>44947</v>
      </c>
      <c r="C410" t="s">
        <v>8</v>
      </c>
      <c r="D410" t="s">
        <v>31</v>
      </c>
      <c r="E410" s="6">
        <v>48114</v>
      </c>
      <c r="F410">
        <v>3</v>
      </c>
      <c r="G410" t="str">
        <f>PROPER(TRIM(Table1[[#This Row],[Product]]))</f>
        <v>Monitor</v>
      </c>
      <c r="H410" t="str">
        <f>PROPER(TRIM(Table1[[#This Row],[Region]]))</f>
        <v>North</v>
      </c>
      <c r="I410" s="6">
        <f>Table1[[#This Row],[Sales]]*Table1[[#This Row],[Quantity]]</f>
        <v>144342</v>
      </c>
    </row>
    <row r="411" spans="1:9" x14ac:dyDescent="0.35">
      <c r="A411" t="s">
        <v>415</v>
      </c>
      <c r="B411" s="1">
        <v>44992</v>
      </c>
      <c r="C411" t="s">
        <v>33</v>
      </c>
      <c r="D411" t="s">
        <v>40</v>
      </c>
      <c r="E411" s="6">
        <v>26068</v>
      </c>
      <c r="F411">
        <v>7</v>
      </c>
      <c r="G411" t="str">
        <f>PROPER(TRIM(Table1[[#This Row],[Product]]))</f>
        <v>Headphones</v>
      </c>
      <c r="H411" t="str">
        <f>PROPER(TRIM(Table1[[#This Row],[Region]]))</f>
        <v>South</v>
      </c>
      <c r="I411" s="6">
        <f>Table1[[#This Row],[Sales]]*Table1[[#This Row],[Quantity]]</f>
        <v>182476</v>
      </c>
    </row>
    <row r="412" spans="1:9" x14ac:dyDescent="0.35">
      <c r="A412" t="s">
        <v>416</v>
      </c>
      <c r="B412" s="1">
        <v>44958</v>
      </c>
      <c r="C412" t="s">
        <v>33</v>
      </c>
      <c r="D412" t="s">
        <v>13</v>
      </c>
      <c r="E412" s="6">
        <v>16393</v>
      </c>
      <c r="F412">
        <v>3</v>
      </c>
      <c r="G412" t="str">
        <f>PROPER(TRIM(Table1[[#This Row],[Product]]))</f>
        <v>Laptop</v>
      </c>
      <c r="H412" t="str">
        <f>PROPER(TRIM(Table1[[#This Row],[Region]]))</f>
        <v>South</v>
      </c>
      <c r="I412" s="6">
        <f>Table1[[#This Row],[Sales]]*Table1[[#This Row],[Quantity]]</f>
        <v>49179</v>
      </c>
    </row>
    <row r="413" spans="1:9" x14ac:dyDescent="0.35">
      <c r="A413" t="s">
        <v>417</v>
      </c>
      <c r="B413" s="1">
        <v>44952</v>
      </c>
      <c r="C413" t="s">
        <v>18</v>
      </c>
      <c r="D413" t="s">
        <v>13</v>
      </c>
      <c r="E413" s="6">
        <v>19823</v>
      </c>
      <c r="F413">
        <v>7</v>
      </c>
      <c r="G413" t="str">
        <f>PROPER(TRIM(Table1[[#This Row],[Product]]))</f>
        <v>Laptop</v>
      </c>
      <c r="H413" t="str">
        <f>PROPER(TRIM(Table1[[#This Row],[Region]]))</f>
        <v>East</v>
      </c>
      <c r="I413" s="6">
        <f>Table1[[#This Row],[Sales]]*Table1[[#This Row],[Quantity]]</f>
        <v>138761</v>
      </c>
    </row>
    <row r="414" spans="1:9" x14ac:dyDescent="0.35">
      <c r="A414" t="s">
        <v>418</v>
      </c>
      <c r="B414" s="1">
        <v>45265</v>
      </c>
      <c r="C414" t="s">
        <v>30</v>
      </c>
      <c r="D414" t="s">
        <v>13</v>
      </c>
      <c r="E414" s="6">
        <v>46089</v>
      </c>
      <c r="F414">
        <v>6</v>
      </c>
      <c r="G414" t="str">
        <f>PROPER(TRIM(Table1[[#This Row],[Product]]))</f>
        <v>Laptop</v>
      </c>
      <c r="H414" t="str">
        <f>PROPER(TRIM(Table1[[#This Row],[Region]]))</f>
        <v>West</v>
      </c>
      <c r="I414" s="6">
        <f>Table1[[#This Row],[Sales]]*Table1[[#This Row],[Quantity]]</f>
        <v>276534</v>
      </c>
    </row>
    <row r="415" spans="1:9" x14ac:dyDescent="0.35">
      <c r="A415" t="s">
        <v>419</v>
      </c>
      <c r="B415" s="1">
        <v>45099</v>
      </c>
      <c r="C415" t="s">
        <v>33</v>
      </c>
      <c r="D415" t="s">
        <v>28</v>
      </c>
      <c r="E415" s="6">
        <v>26896</v>
      </c>
      <c r="F415">
        <v>6</v>
      </c>
      <c r="G415" t="str">
        <f>PROPER(TRIM(Table1[[#This Row],[Product]]))</f>
        <v>Phone</v>
      </c>
      <c r="H415" t="str">
        <f>PROPER(TRIM(Table1[[#This Row],[Region]]))</f>
        <v>South</v>
      </c>
      <c r="I415" s="6">
        <f>Table1[[#This Row],[Sales]]*Table1[[#This Row],[Quantity]]</f>
        <v>161376</v>
      </c>
    </row>
    <row r="416" spans="1:9" x14ac:dyDescent="0.35">
      <c r="A416" t="s">
        <v>420</v>
      </c>
      <c r="B416" s="1">
        <v>45270</v>
      </c>
      <c r="C416" t="s">
        <v>8</v>
      </c>
      <c r="D416" t="s">
        <v>28</v>
      </c>
      <c r="E416" s="6">
        <v>42589</v>
      </c>
      <c r="F416">
        <v>1</v>
      </c>
      <c r="G416" t="str">
        <f>PROPER(TRIM(Table1[[#This Row],[Product]]))</f>
        <v>Phone</v>
      </c>
      <c r="H416" t="str">
        <f>PROPER(TRIM(Table1[[#This Row],[Region]]))</f>
        <v>North</v>
      </c>
      <c r="I416" s="6">
        <f>Table1[[#This Row],[Sales]]*Table1[[#This Row],[Quantity]]</f>
        <v>42589</v>
      </c>
    </row>
    <row r="417" spans="1:9" x14ac:dyDescent="0.35">
      <c r="A417" t="s">
        <v>421</v>
      </c>
      <c r="B417" s="1">
        <v>45098</v>
      </c>
      <c r="C417" t="s">
        <v>18</v>
      </c>
      <c r="D417" t="s">
        <v>13</v>
      </c>
      <c r="E417" s="6">
        <v>11289</v>
      </c>
      <c r="F417">
        <v>6</v>
      </c>
      <c r="G417" t="str">
        <f>PROPER(TRIM(Table1[[#This Row],[Product]]))</f>
        <v>Laptop</v>
      </c>
      <c r="H417" t="str">
        <f>PROPER(TRIM(Table1[[#This Row],[Region]]))</f>
        <v>East</v>
      </c>
      <c r="I417" s="6">
        <f>Table1[[#This Row],[Sales]]*Table1[[#This Row],[Quantity]]</f>
        <v>67734</v>
      </c>
    </row>
    <row r="418" spans="1:9" x14ac:dyDescent="0.35">
      <c r="A418" t="s">
        <v>422</v>
      </c>
      <c r="B418" s="1">
        <v>45260</v>
      </c>
      <c r="C418" t="s">
        <v>18</v>
      </c>
      <c r="D418" t="s">
        <v>31</v>
      </c>
      <c r="E418" s="6">
        <v>17995</v>
      </c>
      <c r="F418">
        <v>5</v>
      </c>
      <c r="G418" t="str">
        <f>PROPER(TRIM(Table1[[#This Row],[Product]]))</f>
        <v>Monitor</v>
      </c>
      <c r="H418" t="str">
        <f>PROPER(TRIM(Table1[[#This Row],[Region]]))</f>
        <v>East</v>
      </c>
      <c r="I418" s="6">
        <f>Table1[[#This Row],[Sales]]*Table1[[#This Row],[Quantity]]</f>
        <v>89975</v>
      </c>
    </row>
    <row r="419" spans="1:9" x14ac:dyDescent="0.35">
      <c r="A419" t="s">
        <v>423</v>
      </c>
      <c r="B419" s="1">
        <v>45152</v>
      </c>
      <c r="C419" t="s">
        <v>30</v>
      </c>
      <c r="D419" t="s">
        <v>25</v>
      </c>
      <c r="E419" s="6">
        <v>2783</v>
      </c>
      <c r="F419">
        <v>8</v>
      </c>
      <c r="G419" t="str">
        <f>PROPER(TRIM(Table1[[#This Row],[Product]]))</f>
        <v>Tablet</v>
      </c>
      <c r="H419" t="str">
        <f>PROPER(TRIM(Table1[[#This Row],[Region]]))</f>
        <v>West</v>
      </c>
      <c r="I419" s="6">
        <f>Table1[[#This Row],[Sales]]*Table1[[#This Row],[Quantity]]</f>
        <v>22264</v>
      </c>
    </row>
    <row r="420" spans="1:9" x14ac:dyDescent="0.35">
      <c r="A420" t="s">
        <v>424</v>
      </c>
      <c r="B420" s="1">
        <v>45176</v>
      </c>
      <c r="C420" t="s">
        <v>18</v>
      </c>
      <c r="D420" t="s">
        <v>40</v>
      </c>
      <c r="E420" s="6">
        <v>23358</v>
      </c>
      <c r="F420">
        <v>3</v>
      </c>
      <c r="G420" t="str">
        <f>PROPER(TRIM(Table1[[#This Row],[Product]]))</f>
        <v>Headphones</v>
      </c>
      <c r="H420" t="str">
        <f>PROPER(TRIM(Table1[[#This Row],[Region]]))</f>
        <v>East</v>
      </c>
      <c r="I420" s="6">
        <f>Table1[[#This Row],[Sales]]*Table1[[#This Row],[Quantity]]</f>
        <v>70074</v>
      </c>
    </row>
    <row r="421" spans="1:9" x14ac:dyDescent="0.35">
      <c r="A421" t="s">
        <v>425</v>
      </c>
      <c r="B421" s="1">
        <v>45289</v>
      </c>
      <c r="C421" t="s">
        <v>18</v>
      </c>
      <c r="D421" t="s">
        <v>25</v>
      </c>
      <c r="E421" s="6">
        <v>48352</v>
      </c>
      <c r="F421">
        <v>2</v>
      </c>
      <c r="G421" t="str">
        <f>PROPER(TRIM(Table1[[#This Row],[Product]]))</f>
        <v>Tablet</v>
      </c>
      <c r="H421" t="str">
        <f>PROPER(TRIM(Table1[[#This Row],[Region]]))</f>
        <v>East</v>
      </c>
      <c r="I421" s="6">
        <f>Table1[[#This Row],[Sales]]*Table1[[#This Row],[Quantity]]</f>
        <v>96704</v>
      </c>
    </row>
    <row r="422" spans="1:9" x14ac:dyDescent="0.35">
      <c r="A422" t="s">
        <v>426</v>
      </c>
      <c r="B422" s="1">
        <v>45188</v>
      </c>
      <c r="C422" t="s">
        <v>8</v>
      </c>
      <c r="D422" t="s">
        <v>31</v>
      </c>
      <c r="E422" s="6">
        <v>22742</v>
      </c>
      <c r="F422">
        <v>5</v>
      </c>
      <c r="G422" t="str">
        <f>PROPER(TRIM(Table1[[#This Row],[Product]]))</f>
        <v>Monitor</v>
      </c>
      <c r="H422" t="str">
        <f>PROPER(TRIM(Table1[[#This Row],[Region]]))</f>
        <v>North</v>
      </c>
      <c r="I422" s="6">
        <f>Table1[[#This Row],[Sales]]*Table1[[#This Row],[Quantity]]</f>
        <v>113710</v>
      </c>
    </row>
    <row r="423" spans="1:9" x14ac:dyDescent="0.35">
      <c r="A423" t="s">
        <v>427</v>
      </c>
      <c r="B423" s="1">
        <v>45049</v>
      </c>
      <c r="C423" t="s">
        <v>30</v>
      </c>
      <c r="D423" t="s">
        <v>13</v>
      </c>
      <c r="E423" s="6">
        <v>18751</v>
      </c>
      <c r="F423">
        <v>6</v>
      </c>
      <c r="G423" t="str">
        <f>PROPER(TRIM(Table1[[#This Row],[Product]]))</f>
        <v>Laptop</v>
      </c>
      <c r="H423" t="str">
        <f>PROPER(TRIM(Table1[[#This Row],[Region]]))</f>
        <v>West</v>
      </c>
      <c r="I423" s="6">
        <f>Table1[[#This Row],[Sales]]*Table1[[#This Row],[Quantity]]</f>
        <v>112506</v>
      </c>
    </row>
    <row r="424" spans="1:9" x14ac:dyDescent="0.35">
      <c r="A424" t="s">
        <v>428</v>
      </c>
      <c r="B424" s="1">
        <v>45070</v>
      </c>
      <c r="C424" t="s">
        <v>8</v>
      </c>
      <c r="D424" t="s">
        <v>25</v>
      </c>
      <c r="E424" s="6">
        <v>21997</v>
      </c>
      <c r="F424">
        <v>6</v>
      </c>
      <c r="G424" t="str">
        <f>PROPER(TRIM(Table1[[#This Row],[Product]]))</f>
        <v>Tablet</v>
      </c>
      <c r="H424" t="str">
        <f>PROPER(TRIM(Table1[[#This Row],[Region]]))</f>
        <v>North</v>
      </c>
      <c r="I424" s="6">
        <f>Table1[[#This Row],[Sales]]*Table1[[#This Row],[Quantity]]</f>
        <v>131982</v>
      </c>
    </row>
    <row r="425" spans="1:9" x14ac:dyDescent="0.35">
      <c r="A425" t="s">
        <v>429</v>
      </c>
      <c r="B425" s="1">
        <v>45019</v>
      </c>
      <c r="C425" t="s">
        <v>18</v>
      </c>
      <c r="D425" t="s">
        <v>28</v>
      </c>
      <c r="E425" s="6">
        <v>8205</v>
      </c>
      <c r="F425">
        <v>1</v>
      </c>
      <c r="G425" t="str">
        <f>PROPER(TRIM(Table1[[#This Row],[Product]]))</f>
        <v>Phone</v>
      </c>
      <c r="H425" t="str">
        <f>PROPER(TRIM(Table1[[#This Row],[Region]]))</f>
        <v>East</v>
      </c>
      <c r="I425" s="6">
        <f>Table1[[#This Row],[Sales]]*Table1[[#This Row],[Quantity]]</f>
        <v>8205</v>
      </c>
    </row>
    <row r="426" spans="1:9" x14ac:dyDescent="0.35">
      <c r="A426" t="s">
        <v>430</v>
      </c>
      <c r="B426" s="1">
        <v>45148</v>
      </c>
      <c r="C426" t="s">
        <v>8</v>
      </c>
      <c r="D426" t="s">
        <v>28</v>
      </c>
      <c r="E426" s="6">
        <v>5948</v>
      </c>
      <c r="F426">
        <v>4</v>
      </c>
      <c r="G426" t="str">
        <f>PROPER(TRIM(Table1[[#This Row],[Product]]))</f>
        <v>Phone</v>
      </c>
      <c r="H426" t="str">
        <f>PROPER(TRIM(Table1[[#This Row],[Region]]))</f>
        <v>North</v>
      </c>
      <c r="I426" s="6">
        <f>Table1[[#This Row],[Sales]]*Table1[[#This Row],[Quantity]]</f>
        <v>23792</v>
      </c>
    </row>
    <row r="427" spans="1:9" x14ac:dyDescent="0.35">
      <c r="A427" t="s">
        <v>431</v>
      </c>
      <c r="B427" s="1">
        <v>45171</v>
      </c>
      <c r="C427" t="s">
        <v>30</v>
      </c>
      <c r="D427" t="s">
        <v>25</v>
      </c>
      <c r="E427" s="6">
        <v>19391</v>
      </c>
      <c r="F427">
        <v>10</v>
      </c>
      <c r="G427" t="str">
        <f>PROPER(TRIM(Table1[[#This Row],[Product]]))</f>
        <v>Tablet</v>
      </c>
      <c r="H427" t="str">
        <f>PROPER(TRIM(Table1[[#This Row],[Region]]))</f>
        <v>West</v>
      </c>
      <c r="I427" s="6">
        <f>Table1[[#This Row],[Sales]]*Table1[[#This Row],[Quantity]]</f>
        <v>193910</v>
      </c>
    </row>
    <row r="428" spans="1:9" x14ac:dyDescent="0.35">
      <c r="A428" t="s">
        <v>432</v>
      </c>
      <c r="B428" s="1">
        <v>45115</v>
      </c>
      <c r="C428" t="s">
        <v>8</v>
      </c>
      <c r="D428" t="s">
        <v>40</v>
      </c>
      <c r="E428" s="6">
        <v>21042</v>
      </c>
      <c r="F428">
        <v>6</v>
      </c>
      <c r="G428" t="str">
        <f>PROPER(TRIM(Table1[[#This Row],[Product]]))</f>
        <v>Headphones</v>
      </c>
      <c r="H428" t="str">
        <f>PROPER(TRIM(Table1[[#This Row],[Region]]))</f>
        <v>North</v>
      </c>
      <c r="I428" s="6">
        <f>Table1[[#This Row],[Sales]]*Table1[[#This Row],[Quantity]]</f>
        <v>126252</v>
      </c>
    </row>
    <row r="429" spans="1:9" x14ac:dyDescent="0.35">
      <c r="A429" t="s">
        <v>433</v>
      </c>
      <c r="B429" s="1">
        <v>44948</v>
      </c>
      <c r="C429" t="s">
        <v>33</v>
      </c>
      <c r="D429" t="s">
        <v>40</v>
      </c>
      <c r="E429" s="6">
        <v>27330</v>
      </c>
      <c r="F429">
        <v>5</v>
      </c>
      <c r="G429" t="str">
        <f>PROPER(TRIM(Table1[[#This Row],[Product]]))</f>
        <v>Headphones</v>
      </c>
      <c r="H429" t="str">
        <f>PROPER(TRIM(Table1[[#This Row],[Region]]))</f>
        <v>South</v>
      </c>
      <c r="I429" s="6">
        <f>Table1[[#This Row],[Sales]]*Table1[[#This Row],[Quantity]]</f>
        <v>136650</v>
      </c>
    </row>
    <row r="430" spans="1:9" x14ac:dyDescent="0.35">
      <c r="A430" t="s">
        <v>434</v>
      </c>
      <c r="B430" s="1">
        <v>44998</v>
      </c>
      <c r="C430" t="s">
        <v>18</v>
      </c>
      <c r="D430" t="s">
        <v>13</v>
      </c>
      <c r="E430" s="6">
        <v>25590</v>
      </c>
      <c r="F430">
        <v>8</v>
      </c>
      <c r="G430" t="str">
        <f>PROPER(TRIM(Table1[[#This Row],[Product]]))</f>
        <v>Laptop</v>
      </c>
      <c r="H430" t="str">
        <f>PROPER(TRIM(Table1[[#This Row],[Region]]))</f>
        <v>East</v>
      </c>
      <c r="I430" s="6">
        <f>Table1[[#This Row],[Sales]]*Table1[[#This Row],[Quantity]]</f>
        <v>204720</v>
      </c>
    </row>
    <row r="431" spans="1:9" x14ac:dyDescent="0.35">
      <c r="A431" t="s">
        <v>435</v>
      </c>
      <c r="B431" s="1">
        <v>45178</v>
      </c>
      <c r="C431" t="s">
        <v>33</v>
      </c>
      <c r="D431" t="s">
        <v>31</v>
      </c>
      <c r="E431" s="6">
        <v>28331</v>
      </c>
      <c r="F431">
        <v>9</v>
      </c>
      <c r="G431" t="str">
        <f>PROPER(TRIM(Table1[[#This Row],[Product]]))</f>
        <v>Monitor</v>
      </c>
      <c r="H431" t="str">
        <f>PROPER(TRIM(Table1[[#This Row],[Region]]))</f>
        <v>South</v>
      </c>
      <c r="I431" s="6">
        <f>Table1[[#This Row],[Sales]]*Table1[[#This Row],[Quantity]]</f>
        <v>254979</v>
      </c>
    </row>
    <row r="432" spans="1:9" x14ac:dyDescent="0.35">
      <c r="A432" t="s">
        <v>436</v>
      </c>
      <c r="B432" s="1">
        <v>45097</v>
      </c>
      <c r="C432" t="s">
        <v>33</v>
      </c>
      <c r="D432" t="s">
        <v>25</v>
      </c>
      <c r="E432" s="6">
        <v>25448</v>
      </c>
      <c r="F432">
        <v>10</v>
      </c>
      <c r="G432" t="str">
        <f>PROPER(TRIM(Table1[[#This Row],[Product]]))</f>
        <v>Tablet</v>
      </c>
      <c r="H432" t="str">
        <f>PROPER(TRIM(Table1[[#This Row],[Region]]))</f>
        <v>South</v>
      </c>
      <c r="I432" s="6">
        <f>Table1[[#This Row],[Sales]]*Table1[[#This Row],[Quantity]]</f>
        <v>254480</v>
      </c>
    </row>
    <row r="433" spans="1:9" x14ac:dyDescent="0.35">
      <c r="A433" t="s">
        <v>437</v>
      </c>
      <c r="B433" s="1">
        <v>45114</v>
      </c>
      <c r="C433" t="s">
        <v>30</v>
      </c>
      <c r="D433" t="s">
        <v>13</v>
      </c>
      <c r="E433" s="6">
        <v>2292</v>
      </c>
      <c r="F433">
        <v>10</v>
      </c>
      <c r="G433" t="str">
        <f>PROPER(TRIM(Table1[[#This Row],[Product]]))</f>
        <v>Laptop</v>
      </c>
      <c r="H433" t="str">
        <f>PROPER(TRIM(Table1[[#This Row],[Region]]))</f>
        <v>West</v>
      </c>
      <c r="I433" s="6">
        <f>Table1[[#This Row],[Sales]]*Table1[[#This Row],[Quantity]]</f>
        <v>22920</v>
      </c>
    </row>
    <row r="434" spans="1:9" x14ac:dyDescent="0.35">
      <c r="A434" t="s">
        <v>438</v>
      </c>
      <c r="B434" s="1">
        <v>45038</v>
      </c>
      <c r="C434" t="s">
        <v>18</v>
      </c>
      <c r="D434" t="s">
        <v>25</v>
      </c>
      <c r="E434" s="6">
        <v>41054</v>
      </c>
      <c r="F434">
        <v>4</v>
      </c>
      <c r="G434" t="str">
        <f>PROPER(TRIM(Table1[[#This Row],[Product]]))</f>
        <v>Tablet</v>
      </c>
      <c r="H434" t="str">
        <f>PROPER(TRIM(Table1[[#This Row],[Region]]))</f>
        <v>East</v>
      </c>
      <c r="I434" s="6">
        <f>Table1[[#This Row],[Sales]]*Table1[[#This Row],[Quantity]]</f>
        <v>164216</v>
      </c>
    </row>
    <row r="435" spans="1:9" x14ac:dyDescent="0.35">
      <c r="A435" t="s">
        <v>439</v>
      </c>
      <c r="B435" s="1">
        <v>45037</v>
      </c>
      <c r="C435" t="s">
        <v>30</v>
      </c>
      <c r="D435" t="s">
        <v>25</v>
      </c>
      <c r="E435" s="6">
        <v>14219</v>
      </c>
      <c r="F435">
        <v>7</v>
      </c>
      <c r="G435" t="str">
        <f>PROPER(TRIM(Table1[[#This Row],[Product]]))</f>
        <v>Tablet</v>
      </c>
      <c r="H435" t="str">
        <f>PROPER(TRIM(Table1[[#This Row],[Region]]))</f>
        <v>West</v>
      </c>
      <c r="I435" s="6">
        <f>Table1[[#This Row],[Sales]]*Table1[[#This Row],[Quantity]]</f>
        <v>99533</v>
      </c>
    </row>
    <row r="436" spans="1:9" x14ac:dyDescent="0.35">
      <c r="A436" t="s">
        <v>440</v>
      </c>
      <c r="B436" s="1">
        <v>45138</v>
      </c>
      <c r="C436" t="s">
        <v>18</v>
      </c>
      <c r="D436" t="s">
        <v>31</v>
      </c>
      <c r="E436" s="6">
        <v>3827</v>
      </c>
      <c r="F436">
        <v>8</v>
      </c>
      <c r="G436" t="str">
        <f>PROPER(TRIM(Table1[[#This Row],[Product]]))</f>
        <v>Monitor</v>
      </c>
      <c r="H436" t="str">
        <f>PROPER(TRIM(Table1[[#This Row],[Region]]))</f>
        <v>East</v>
      </c>
      <c r="I436" s="6">
        <f>Table1[[#This Row],[Sales]]*Table1[[#This Row],[Quantity]]</f>
        <v>30616</v>
      </c>
    </row>
    <row r="437" spans="1:9" x14ac:dyDescent="0.35">
      <c r="A437" t="s">
        <v>441</v>
      </c>
      <c r="B437" s="1">
        <v>44936</v>
      </c>
      <c r="C437" t="s">
        <v>33</v>
      </c>
      <c r="D437" t="s">
        <v>31</v>
      </c>
      <c r="E437" s="6">
        <v>6586</v>
      </c>
      <c r="F437">
        <v>5</v>
      </c>
      <c r="G437" t="str">
        <f>PROPER(TRIM(Table1[[#This Row],[Product]]))</f>
        <v>Monitor</v>
      </c>
      <c r="H437" t="str">
        <f>PROPER(TRIM(Table1[[#This Row],[Region]]))</f>
        <v>South</v>
      </c>
      <c r="I437" s="6">
        <f>Table1[[#This Row],[Sales]]*Table1[[#This Row],[Quantity]]</f>
        <v>32930</v>
      </c>
    </row>
    <row r="438" spans="1:9" x14ac:dyDescent="0.35">
      <c r="A438" t="s">
        <v>442</v>
      </c>
      <c r="B438" s="1">
        <v>45039</v>
      </c>
      <c r="C438" t="s">
        <v>18</v>
      </c>
      <c r="D438" t="s">
        <v>13</v>
      </c>
      <c r="E438" s="6">
        <v>32384</v>
      </c>
      <c r="F438">
        <v>4</v>
      </c>
      <c r="G438" t="str">
        <f>PROPER(TRIM(Table1[[#This Row],[Product]]))</f>
        <v>Laptop</v>
      </c>
      <c r="H438" t="str">
        <f>PROPER(TRIM(Table1[[#This Row],[Region]]))</f>
        <v>East</v>
      </c>
      <c r="I438" s="6">
        <f>Table1[[#This Row],[Sales]]*Table1[[#This Row],[Quantity]]</f>
        <v>129536</v>
      </c>
    </row>
    <row r="439" spans="1:9" x14ac:dyDescent="0.35">
      <c r="A439" t="s">
        <v>443</v>
      </c>
      <c r="B439" s="1">
        <v>44986</v>
      </c>
      <c r="C439" t="s">
        <v>8</v>
      </c>
      <c r="D439" t="s">
        <v>28</v>
      </c>
      <c r="E439" s="6">
        <v>1286</v>
      </c>
      <c r="F439">
        <v>4</v>
      </c>
      <c r="G439" t="str">
        <f>PROPER(TRIM(Table1[[#This Row],[Product]]))</f>
        <v>Phone</v>
      </c>
      <c r="H439" t="str">
        <f>PROPER(TRIM(Table1[[#This Row],[Region]]))</f>
        <v>North</v>
      </c>
      <c r="I439" s="6">
        <f>Table1[[#This Row],[Sales]]*Table1[[#This Row],[Quantity]]</f>
        <v>5144</v>
      </c>
    </row>
    <row r="440" spans="1:9" x14ac:dyDescent="0.35">
      <c r="A440" t="s">
        <v>444</v>
      </c>
      <c r="B440" s="1">
        <v>45283</v>
      </c>
      <c r="C440" t="s">
        <v>33</v>
      </c>
      <c r="D440" t="s">
        <v>28</v>
      </c>
      <c r="E440" s="6">
        <v>41819</v>
      </c>
      <c r="F440">
        <v>1</v>
      </c>
      <c r="G440" t="str">
        <f>PROPER(TRIM(Table1[[#This Row],[Product]]))</f>
        <v>Phone</v>
      </c>
      <c r="H440" t="str">
        <f>PROPER(TRIM(Table1[[#This Row],[Region]]))</f>
        <v>South</v>
      </c>
      <c r="I440" s="6">
        <f>Table1[[#This Row],[Sales]]*Table1[[#This Row],[Quantity]]</f>
        <v>41819</v>
      </c>
    </row>
    <row r="441" spans="1:9" x14ac:dyDescent="0.35">
      <c r="A441" t="s">
        <v>445</v>
      </c>
      <c r="B441" s="1">
        <v>45202</v>
      </c>
      <c r="C441" t="s">
        <v>33</v>
      </c>
      <c r="D441" t="s">
        <v>13</v>
      </c>
      <c r="E441" s="6">
        <v>25343</v>
      </c>
      <c r="F441">
        <v>7</v>
      </c>
      <c r="G441" t="str">
        <f>PROPER(TRIM(Table1[[#This Row],[Product]]))</f>
        <v>Laptop</v>
      </c>
      <c r="H441" t="str">
        <f>PROPER(TRIM(Table1[[#This Row],[Region]]))</f>
        <v>South</v>
      </c>
      <c r="I441" s="6">
        <f>Table1[[#This Row],[Sales]]*Table1[[#This Row],[Quantity]]</f>
        <v>177401</v>
      </c>
    </row>
    <row r="442" spans="1:9" x14ac:dyDescent="0.35">
      <c r="A442" t="s">
        <v>446</v>
      </c>
      <c r="B442" s="1">
        <v>45071</v>
      </c>
      <c r="C442" t="s">
        <v>33</v>
      </c>
      <c r="D442" t="s">
        <v>28</v>
      </c>
      <c r="E442" s="6">
        <v>8878</v>
      </c>
      <c r="F442">
        <v>6</v>
      </c>
      <c r="G442" t="str">
        <f>PROPER(TRIM(Table1[[#This Row],[Product]]))</f>
        <v>Phone</v>
      </c>
      <c r="H442" t="str">
        <f>PROPER(TRIM(Table1[[#This Row],[Region]]))</f>
        <v>South</v>
      </c>
      <c r="I442" s="6">
        <f>Table1[[#This Row],[Sales]]*Table1[[#This Row],[Quantity]]</f>
        <v>53268</v>
      </c>
    </row>
    <row r="443" spans="1:9" x14ac:dyDescent="0.35">
      <c r="A443" t="s">
        <v>446</v>
      </c>
      <c r="B443" s="1">
        <v>45071</v>
      </c>
      <c r="C443" t="s">
        <v>33</v>
      </c>
      <c r="D443" t="s">
        <v>28</v>
      </c>
      <c r="E443" s="6">
        <v>8878</v>
      </c>
      <c r="F443">
        <v>6</v>
      </c>
      <c r="G443" t="str">
        <f>PROPER(TRIM(Table1[[#This Row],[Product]]))</f>
        <v>Phone</v>
      </c>
      <c r="H443" t="str">
        <f>PROPER(TRIM(Table1[[#This Row],[Region]]))</f>
        <v>South</v>
      </c>
      <c r="I443" s="6">
        <f>Table1[[#This Row],[Sales]]*Table1[[#This Row],[Quantity]]</f>
        <v>53268</v>
      </c>
    </row>
    <row r="444" spans="1:9" x14ac:dyDescent="0.35">
      <c r="A444" t="s">
        <v>447</v>
      </c>
      <c r="B444" s="1">
        <v>45290</v>
      </c>
      <c r="C444" t="s">
        <v>30</v>
      </c>
      <c r="D444" t="s">
        <v>31</v>
      </c>
      <c r="E444" s="6">
        <v>5385</v>
      </c>
      <c r="F444">
        <v>10</v>
      </c>
      <c r="G444" t="str">
        <f>PROPER(TRIM(Table1[[#This Row],[Product]]))</f>
        <v>Monitor</v>
      </c>
      <c r="H444" t="str">
        <f>PROPER(TRIM(Table1[[#This Row],[Region]]))</f>
        <v>West</v>
      </c>
      <c r="I444" s="6">
        <f>Table1[[#This Row],[Sales]]*Table1[[#This Row],[Quantity]]</f>
        <v>53850</v>
      </c>
    </row>
    <row r="445" spans="1:9" x14ac:dyDescent="0.35">
      <c r="A445" t="s">
        <v>448</v>
      </c>
      <c r="B445" s="1">
        <v>45094</v>
      </c>
      <c r="C445" t="s">
        <v>8</v>
      </c>
      <c r="D445" t="s">
        <v>31</v>
      </c>
      <c r="E445" s="6">
        <v>3602</v>
      </c>
      <c r="F445">
        <v>8</v>
      </c>
      <c r="G445" t="str">
        <f>PROPER(TRIM(Table1[[#This Row],[Product]]))</f>
        <v>Monitor</v>
      </c>
      <c r="H445" t="str">
        <f>PROPER(TRIM(Table1[[#This Row],[Region]]))</f>
        <v>North</v>
      </c>
      <c r="I445" s="6">
        <f>Table1[[#This Row],[Sales]]*Table1[[#This Row],[Quantity]]</f>
        <v>28816</v>
      </c>
    </row>
    <row r="446" spans="1:9" x14ac:dyDescent="0.35">
      <c r="A446" t="s">
        <v>449</v>
      </c>
      <c r="B446" s="1">
        <v>45143</v>
      </c>
      <c r="C446" t="s">
        <v>33</v>
      </c>
      <c r="D446" t="s">
        <v>13</v>
      </c>
      <c r="E446" s="6">
        <v>45077</v>
      </c>
      <c r="F446">
        <v>7</v>
      </c>
      <c r="G446" t="str">
        <f>PROPER(TRIM(Table1[[#This Row],[Product]]))</f>
        <v>Laptop</v>
      </c>
      <c r="H446" t="str">
        <f>PROPER(TRIM(Table1[[#This Row],[Region]]))</f>
        <v>South</v>
      </c>
      <c r="I446" s="6">
        <f>Table1[[#This Row],[Sales]]*Table1[[#This Row],[Quantity]]</f>
        <v>315539</v>
      </c>
    </row>
    <row r="447" spans="1:9" x14ac:dyDescent="0.35">
      <c r="A447" t="s">
        <v>450</v>
      </c>
      <c r="B447" s="1">
        <v>45261</v>
      </c>
      <c r="C447" t="s">
        <v>8</v>
      </c>
      <c r="D447" t="s">
        <v>28</v>
      </c>
      <c r="E447" s="6">
        <v>10138</v>
      </c>
      <c r="F447">
        <v>9</v>
      </c>
      <c r="G447" t="str">
        <f>PROPER(TRIM(Table1[[#This Row],[Product]]))</f>
        <v>Phone</v>
      </c>
      <c r="H447" t="str">
        <f>PROPER(TRIM(Table1[[#This Row],[Region]]))</f>
        <v>North</v>
      </c>
      <c r="I447" s="6">
        <f>Table1[[#This Row],[Sales]]*Table1[[#This Row],[Quantity]]</f>
        <v>91242</v>
      </c>
    </row>
    <row r="448" spans="1:9" x14ac:dyDescent="0.35">
      <c r="A448" t="s">
        <v>451</v>
      </c>
      <c r="B448" s="1">
        <v>45105</v>
      </c>
      <c r="C448" t="s">
        <v>33</v>
      </c>
      <c r="D448" t="s">
        <v>13</v>
      </c>
      <c r="E448" s="6">
        <v>42727</v>
      </c>
      <c r="F448">
        <v>9</v>
      </c>
      <c r="G448" t="str">
        <f>PROPER(TRIM(Table1[[#This Row],[Product]]))</f>
        <v>Laptop</v>
      </c>
      <c r="H448" t="str">
        <f>PROPER(TRIM(Table1[[#This Row],[Region]]))</f>
        <v>South</v>
      </c>
      <c r="I448" s="6">
        <f>Table1[[#This Row],[Sales]]*Table1[[#This Row],[Quantity]]</f>
        <v>384543</v>
      </c>
    </row>
    <row r="449" spans="1:9" x14ac:dyDescent="0.35">
      <c r="A449" t="s">
        <v>452</v>
      </c>
      <c r="B449" s="1">
        <v>45270</v>
      </c>
      <c r="C449" t="s">
        <v>33</v>
      </c>
      <c r="D449" t="s">
        <v>13</v>
      </c>
      <c r="E449" s="6">
        <v>6650</v>
      </c>
      <c r="F449">
        <v>3</v>
      </c>
      <c r="G449" t="str">
        <f>PROPER(TRIM(Table1[[#This Row],[Product]]))</f>
        <v>Laptop</v>
      </c>
      <c r="H449" t="str">
        <f>PROPER(TRIM(Table1[[#This Row],[Region]]))</f>
        <v>South</v>
      </c>
      <c r="I449" s="6">
        <f>Table1[[#This Row],[Sales]]*Table1[[#This Row],[Quantity]]</f>
        <v>19950</v>
      </c>
    </row>
    <row r="450" spans="1:9" x14ac:dyDescent="0.35">
      <c r="A450" t="s">
        <v>453</v>
      </c>
      <c r="B450" s="1">
        <v>45193</v>
      </c>
      <c r="C450" t="s">
        <v>30</v>
      </c>
      <c r="D450" t="s">
        <v>28</v>
      </c>
      <c r="E450" s="6">
        <v>13086</v>
      </c>
      <c r="F450">
        <v>5</v>
      </c>
      <c r="G450" t="str">
        <f>PROPER(TRIM(Table1[[#This Row],[Product]]))</f>
        <v>Phone</v>
      </c>
      <c r="H450" t="str">
        <f>PROPER(TRIM(Table1[[#This Row],[Region]]))</f>
        <v>West</v>
      </c>
      <c r="I450" s="6">
        <f>Table1[[#This Row],[Sales]]*Table1[[#This Row],[Quantity]]</f>
        <v>65430</v>
      </c>
    </row>
    <row r="451" spans="1:9" x14ac:dyDescent="0.35">
      <c r="A451" t="s">
        <v>454</v>
      </c>
      <c r="B451" s="1">
        <v>44970</v>
      </c>
      <c r="C451" t="s">
        <v>18</v>
      </c>
      <c r="D451" t="s">
        <v>28</v>
      </c>
      <c r="E451" s="6">
        <v>6885</v>
      </c>
      <c r="F451">
        <v>9</v>
      </c>
      <c r="G451" t="str">
        <f>PROPER(TRIM(Table1[[#This Row],[Product]]))</f>
        <v>Phone</v>
      </c>
      <c r="H451" t="str">
        <f>PROPER(TRIM(Table1[[#This Row],[Region]]))</f>
        <v>East</v>
      </c>
      <c r="I451" s="6">
        <f>Table1[[#This Row],[Sales]]*Table1[[#This Row],[Quantity]]</f>
        <v>61965</v>
      </c>
    </row>
    <row r="452" spans="1:9" x14ac:dyDescent="0.35">
      <c r="A452" t="s">
        <v>455</v>
      </c>
      <c r="B452" s="1">
        <v>44985</v>
      </c>
      <c r="C452" t="s">
        <v>8</v>
      </c>
      <c r="D452" t="s">
        <v>40</v>
      </c>
      <c r="E452" s="6">
        <v>31950</v>
      </c>
      <c r="F452">
        <v>1</v>
      </c>
      <c r="G452" t="str">
        <f>PROPER(TRIM(Table1[[#This Row],[Product]]))</f>
        <v>Headphones</v>
      </c>
      <c r="H452" t="str">
        <f>PROPER(TRIM(Table1[[#This Row],[Region]]))</f>
        <v>North</v>
      </c>
      <c r="I452" s="6">
        <f>Table1[[#This Row],[Sales]]*Table1[[#This Row],[Quantity]]</f>
        <v>31950</v>
      </c>
    </row>
    <row r="453" spans="1:9" x14ac:dyDescent="0.35">
      <c r="A453" t="s">
        <v>456</v>
      </c>
      <c r="B453" s="1">
        <v>45156</v>
      </c>
      <c r="C453" t="s">
        <v>18</v>
      </c>
      <c r="D453" t="s">
        <v>28</v>
      </c>
      <c r="E453" s="6">
        <v>22262</v>
      </c>
      <c r="F453">
        <v>9</v>
      </c>
      <c r="G453" t="str">
        <f>PROPER(TRIM(Table1[[#This Row],[Product]]))</f>
        <v>Phone</v>
      </c>
      <c r="H453" t="str">
        <f>PROPER(TRIM(Table1[[#This Row],[Region]]))</f>
        <v>East</v>
      </c>
      <c r="I453" s="6">
        <f>Table1[[#This Row],[Sales]]*Table1[[#This Row],[Quantity]]</f>
        <v>200358</v>
      </c>
    </row>
    <row r="454" spans="1:9" x14ac:dyDescent="0.35">
      <c r="A454" t="s">
        <v>457</v>
      </c>
      <c r="B454" s="1">
        <v>44954</v>
      </c>
      <c r="C454" t="s">
        <v>18</v>
      </c>
      <c r="D454" t="s">
        <v>25</v>
      </c>
      <c r="E454" s="6">
        <v>41114</v>
      </c>
      <c r="F454">
        <v>8</v>
      </c>
      <c r="G454" t="str">
        <f>PROPER(TRIM(Table1[[#This Row],[Product]]))</f>
        <v>Tablet</v>
      </c>
      <c r="H454" t="str">
        <f>PROPER(TRIM(Table1[[#This Row],[Region]]))</f>
        <v>East</v>
      </c>
      <c r="I454" s="6">
        <f>Table1[[#This Row],[Sales]]*Table1[[#This Row],[Quantity]]</f>
        <v>328912</v>
      </c>
    </row>
    <row r="455" spans="1:9" x14ac:dyDescent="0.35">
      <c r="A455" t="s">
        <v>458</v>
      </c>
      <c r="B455" s="1">
        <v>45226</v>
      </c>
      <c r="C455" t="s">
        <v>8</v>
      </c>
      <c r="D455" t="s">
        <v>13</v>
      </c>
      <c r="E455" s="6">
        <v>45149</v>
      </c>
      <c r="F455">
        <v>5</v>
      </c>
      <c r="G455" t="str">
        <f>PROPER(TRIM(Table1[[#This Row],[Product]]))</f>
        <v>Laptop</v>
      </c>
      <c r="H455" t="str">
        <f>PROPER(TRIM(Table1[[#This Row],[Region]]))</f>
        <v>North</v>
      </c>
      <c r="I455" s="6">
        <f>Table1[[#This Row],[Sales]]*Table1[[#This Row],[Quantity]]</f>
        <v>225745</v>
      </c>
    </row>
    <row r="456" spans="1:9" x14ac:dyDescent="0.35">
      <c r="A456" t="s">
        <v>459</v>
      </c>
      <c r="B456" s="1">
        <v>45111</v>
      </c>
      <c r="C456" t="s">
        <v>33</v>
      </c>
      <c r="D456" t="s">
        <v>25</v>
      </c>
      <c r="E456" s="6">
        <v>13076</v>
      </c>
      <c r="F456">
        <v>1</v>
      </c>
      <c r="G456" t="str">
        <f>PROPER(TRIM(Table1[[#This Row],[Product]]))</f>
        <v>Tablet</v>
      </c>
      <c r="H456" t="str">
        <f>PROPER(TRIM(Table1[[#This Row],[Region]]))</f>
        <v>South</v>
      </c>
      <c r="I456" s="6">
        <f>Table1[[#This Row],[Sales]]*Table1[[#This Row],[Quantity]]</f>
        <v>13076</v>
      </c>
    </row>
    <row r="457" spans="1:9" x14ac:dyDescent="0.35">
      <c r="A457" t="s">
        <v>460</v>
      </c>
      <c r="B457" s="1">
        <v>45026</v>
      </c>
      <c r="C457" t="s">
        <v>8</v>
      </c>
      <c r="D457" t="s">
        <v>28</v>
      </c>
      <c r="E457" s="6">
        <v>17761</v>
      </c>
      <c r="F457">
        <v>6</v>
      </c>
      <c r="G457" t="str">
        <f>PROPER(TRIM(Table1[[#This Row],[Product]]))</f>
        <v>Phone</v>
      </c>
      <c r="H457" t="str">
        <f>PROPER(TRIM(Table1[[#This Row],[Region]]))</f>
        <v>North</v>
      </c>
      <c r="I457" s="6">
        <f>Table1[[#This Row],[Sales]]*Table1[[#This Row],[Quantity]]</f>
        <v>106566</v>
      </c>
    </row>
    <row r="458" spans="1:9" x14ac:dyDescent="0.35">
      <c r="A458" t="s">
        <v>461</v>
      </c>
      <c r="B458" s="1">
        <v>45138</v>
      </c>
      <c r="C458" t="s">
        <v>30</v>
      </c>
      <c r="D458" t="s">
        <v>40</v>
      </c>
      <c r="E458" s="6">
        <v>38672</v>
      </c>
      <c r="F458">
        <v>1</v>
      </c>
      <c r="G458" t="str">
        <f>PROPER(TRIM(Table1[[#This Row],[Product]]))</f>
        <v>Headphones</v>
      </c>
      <c r="H458" t="str">
        <f>PROPER(TRIM(Table1[[#This Row],[Region]]))</f>
        <v>West</v>
      </c>
      <c r="I458" s="6">
        <f>Table1[[#This Row],[Sales]]*Table1[[#This Row],[Quantity]]</f>
        <v>38672</v>
      </c>
    </row>
    <row r="459" spans="1:9" x14ac:dyDescent="0.35">
      <c r="A459" t="s">
        <v>462</v>
      </c>
      <c r="B459" s="1">
        <v>45029</v>
      </c>
      <c r="C459" t="s">
        <v>18</v>
      </c>
      <c r="D459" t="s">
        <v>40</v>
      </c>
      <c r="E459" s="6">
        <v>35920</v>
      </c>
      <c r="F459">
        <v>5</v>
      </c>
      <c r="G459" t="str">
        <f>PROPER(TRIM(Table1[[#This Row],[Product]]))</f>
        <v>Headphones</v>
      </c>
      <c r="H459" t="str">
        <f>PROPER(TRIM(Table1[[#This Row],[Region]]))</f>
        <v>East</v>
      </c>
      <c r="I459" s="6">
        <f>Table1[[#This Row],[Sales]]*Table1[[#This Row],[Quantity]]</f>
        <v>179600</v>
      </c>
    </row>
    <row r="460" spans="1:9" x14ac:dyDescent="0.35">
      <c r="A460" t="s">
        <v>463</v>
      </c>
      <c r="B460" s="1">
        <v>44972</v>
      </c>
      <c r="C460" t="s">
        <v>8</v>
      </c>
      <c r="D460" t="s">
        <v>40</v>
      </c>
      <c r="E460" s="6">
        <v>22303</v>
      </c>
      <c r="F460">
        <v>5</v>
      </c>
      <c r="G460" t="str">
        <f>PROPER(TRIM(Table1[[#This Row],[Product]]))</f>
        <v>Headphones</v>
      </c>
      <c r="H460" t="str">
        <f>PROPER(TRIM(Table1[[#This Row],[Region]]))</f>
        <v>North</v>
      </c>
      <c r="I460" s="6">
        <f>Table1[[#This Row],[Sales]]*Table1[[#This Row],[Quantity]]</f>
        <v>111515</v>
      </c>
    </row>
    <row r="461" spans="1:9" x14ac:dyDescent="0.35">
      <c r="A461" t="s">
        <v>464</v>
      </c>
      <c r="B461" s="1">
        <v>44928</v>
      </c>
      <c r="C461" t="s">
        <v>18</v>
      </c>
      <c r="D461" t="s">
        <v>31</v>
      </c>
      <c r="E461" s="6">
        <v>9653</v>
      </c>
      <c r="F461">
        <v>4</v>
      </c>
      <c r="G461" t="str">
        <f>PROPER(TRIM(Table1[[#This Row],[Product]]))</f>
        <v>Monitor</v>
      </c>
      <c r="H461" t="str">
        <f>PROPER(TRIM(Table1[[#This Row],[Region]]))</f>
        <v>East</v>
      </c>
      <c r="I461" s="6">
        <f>Table1[[#This Row],[Sales]]*Table1[[#This Row],[Quantity]]</f>
        <v>38612</v>
      </c>
    </row>
    <row r="462" spans="1:9" x14ac:dyDescent="0.35">
      <c r="A462" t="s">
        <v>465</v>
      </c>
      <c r="B462" s="1">
        <v>45000</v>
      </c>
      <c r="C462" t="s">
        <v>8</v>
      </c>
      <c r="D462" t="s">
        <v>31</v>
      </c>
      <c r="E462" s="6">
        <v>18250</v>
      </c>
      <c r="F462">
        <v>8</v>
      </c>
      <c r="G462" t="str">
        <f>PROPER(TRIM(Table1[[#This Row],[Product]]))</f>
        <v>Monitor</v>
      </c>
      <c r="H462" t="str">
        <f>PROPER(TRIM(Table1[[#This Row],[Region]]))</f>
        <v>North</v>
      </c>
      <c r="I462" s="6">
        <f>Table1[[#This Row],[Sales]]*Table1[[#This Row],[Quantity]]</f>
        <v>146000</v>
      </c>
    </row>
    <row r="463" spans="1:9" x14ac:dyDescent="0.35">
      <c r="A463" t="s">
        <v>466</v>
      </c>
      <c r="B463" s="1">
        <v>44941</v>
      </c>
      <c r="C463" t="s">
        <v>8</v>
      </c>
      <c r="D463" t="s">
        <v>28</v>
      </c>
      <c r="E463" s="6">
        <v>30995</v>
      </c>
      <c r="F463">
        <v>10</v>
      </c>
      <c r="G463" t="str">
        <f>PROPER(TRIM(Table1[[#This Row],[Product]]))</f>
        <v>Phone</v>
      </c>
      <c r="H463" t="str">
        <f>PROPER(TRIM(Table1[[#This Row],[Region]]))</f>
        <v>North</v>
      </c>
      <c r="I463" s="6">
        <f>Table1[[#This Row],[Sales]]*Table1[[#This Row],[Quantity]]</f>
        <v>309950</v>
      </c>
    </row>
    <row r="464" spans="1:9" x14ac:dyDescent="0.35">
      <c r="A464" t="s">
        <v>467</v>
      </c>
      <c r="B464" s="1">
        <v>45179</v>
      </c>
      <c r="C464" t="s">
        <v>30</v>
      </c>
      <c r="D464" t="s">
        <v>31</v>
      </c>
      <c r="E464" s="6">
        <v>23931</v>
      </c>
      <c r="F464">
        <v>5</v>
      </c>
      <c r="G464" t="str">
        <f>PROPER(TRIM(Table1[[#This Row],[Product]]))</f>
        <v>Monitor</v>
      </c>
      <c r="H464" t="str">
        <f>PROPER(TRIM(Table1[[#This Row],[Region]]))</f>
        <v>West</v>
      </c>
      <c r="I464" s="6">
        <f>Table1[[#This Row],[Sales]]*Table1[[#This Row],[Quantity]]</f>
        <v>119655</v>
      </c>
    </row>
    <row r="465" spans="1:9" x14ac:dyDescent="0.35">
      <c r="A465" t="s">
        <v>468</v>
      </c>
      <c r="B465" s="1">
        <v>45121</v>
      </c>
      <c r="C465" t="s">
        <v>8</v>
      </c>
      <c r="D465" t="s">
        <v>28</v>
      </c>
      <c r="E465" s="6">
        <v>12534</v>
      </c>
      <c r="F465">
        <v>8</v>
      </c>
      <c r="G465" t="str">
        <f>PROPER(TRIM(Table1[[#This Row],[Product]]))</f>
        <v>Phone</v>
      </c>
      <c r="H465" t="str">
        <f>PROPER(TRIM(Table1[[#This Row],[Region]]))</f>
        <v>North</v>
      </c>
      <c r="I465" s="6">
        <f>Table1[[#This Row],[Sales]]*Table1[[#This Row],[Quantity]]</f>
        <v>100272</v>
      </c>
    </row>
    <row r="466" spans="1:9" x14ac:dyDescent="0.35">
      <c r="A466" t="s">
        <v>469</v>
      </c>
      <c r="B466" s="1">
        <v>45117</v>
      </c>
      <c r="C466" t="s">
        <v>8</v>
      </c>
      <c r="D466" t="s">
        <v>40</v>
      </c>
      <c r="E466" s="6">
        <v>2322</v>
      </c>
      <c r="F466">
        <v>4</v>
      </c>
      <c r="G466" t="str">
        <f>PROPER(TRIM(Table1[[#This Row],[Product]]))</f>
        <v>Headphones</v>
      </c>
      <c r="H466" t="str">
        <f>PROPER(TRIM(Table1[[#This Row],[Region]]))</f>
        <v>North</v>
      </c>
      <c r="I466" s="6">
        <f>Table1[[#This Row],[Sales]]*Table1[[#This Row],[Quantity]]</f>
        <v>9288</v>
      </c>
    </row>
    <row r="467" spans="1:9" x14ac:dyDescent="0.35">
      <c r="A467" t="s">
        <v>470</v>
      </c>
      <c r="B467" s="1">
        <v>45203</v>
      </c>
      <c r="C467" t="s">
        <v>30</v>
      </c>
      <c r="D467" t="s">
        <v>28</v>
      </c>
      <c r="E467" s="6">
        <v>4117</v>
      </c>
      <c r="F467">
        <v>6</v>
      </c>
      <c r="G467" t="str">
        <f>PROPER(TRIM(Table1[[#This Row],[Product]]))</f>
        <v>Phone</v>
      </c>
      <c r="H467" t="str">
        <f>PROPER(TRIM(Table1[[#This Row],[Region]]))</f>
        <v>West</v>
      </c>
      <c r="I467" s="6">
        <f>Table1[[#This Row],[Sales]]*Table1[[#This Row],[Quantity]]</f>
        <v>24702</v>
      </c>
    </row>
    <row r="468" spans="1:9" x14ac:dyDescent="0.35">
      <c r="A468" t="s">
        <v>471</v>
      </c>
      <c r="B468" s="1">
        <v>45214</v>
      </c>
      <c r="C468" t="s">
        <v>18</v>
      </c>
      <c r="D468" t="s">
        <v>28</v>
      </c>
      <c r="E468" s="6">
        <v>20432</v>
      </c>
      <c r="F468">
        <v>8</v>
      </c>
      <c r="G468" t="str">
        <f>PROPER(TRIM(Table1[[#This Row],[Product]]))</f>
        <v>Phone</v>
      </c>
      <c r="H468" t="str">
        <f>PROPER(TRIM(Table1[[#This Row],[Region]]))</f>
        <v>East</v>
      </c>
      <c r="I468" s="6">
        <f>Table1[[#This Row],[Sales]]*Table1[[#This Row],[Quantity]]</f>
        <v>163456</v>
      </c>
    </row>
    <row r="469" spans="1:9" x14ac:dyDescent="0.35">
      <c r="A469" t="s">
        <v>472</v>
      </c>
      <c r="B469" s="1">
        <v>45061</v>
      </c>
      <c r="C469" t="s">
        <v>8</v>
      </c>
      <c r="D469" t="s">
        <v>40</v>
      </c>
      <c r="E469" s="6">
        <v>39919</v>
      </c>
      <c r="F469">
        <v>3</v>
      </c>
      <c r="G469" t="str">
        <f>PROPER(TRIM(Table1[[#This Row],[Product]]))</f>
        <v>Headphones</v>
      </c>
      <c r="H469" t="str">
        <f>PROPER(TRIM(Table1[[#This Row],[Region]]))</f>
        <v>North</v>
      </c>
      <c r="I469" s="6">
        <f>Table1[[#This Row],[Sales]]*Table1[[#This Row],[Quantity]]</f>
        <v>119757</v>
      </c>
    </row>
    <row r="470" spans="1:9" x14ac:dyDescent="0.35">
      <c r="A470" t="s">
        <v>472</v>
      </c>
      <c r="B470" s="1">
        <v>45061</v>
      </c>
      <c r="C470" t="s">
        <v>8</v>
      </c>
      <c r="D470" t="s">
        <v>40</v>
      </c>
      <c r="E470" s="6">
        <v>39919</v>
      </c>
      <c r="F470">
        <v>3</v>
      </c>
      <c r="G470" t="str">
        <f>PROPER(TRIM(Table1[[#This Row],[Product]]))</f>
        <v>Headphones</v>
      </c>
      <c r="H470" t="str">
        <f>PROPER(TRIM(Table1[[#This Row],[Region]]))</f>
        <v>North</v>
      </c>
      <c r="I470" s="6">
        <f>Table1[[#This Row],[Sales]]*Table1[[#This Row],[Quantity]]</f>
        <v>119757</v>
      </c>
    </row>
    <row r="471" spans="1:9" x14ac:dyDescent="0.35">
      <c r="A471" t="s">
        <v>473</v>
      </c>
      <c r="B471" s="1">
        <v>45288</v>
      </c>
      <c r="C471" t="s">
        <v>30</v>
      </c>
      <c r="D471" t="s">
        <v>31</v>
      </c>
      <c r="E471" s="6">
        <v>30873</v>
      </c>
      <c r="F471">
        <v>8</v>
      </c>
      <c r="G471" t="str">
        <f>PROPER(TRIM(Table1[[#This Row],[Product]]))</f>
        <v>Monitor</v>
      </c>
      <c r="H471" t="str">
        <f>PROPER(TRIM(Table1[[#This Row],[Region]]))</f>
        <v>West</v>
      </c>
      <c r="I471" s="6">
        <f>Table1[[#This Row],[Sales]]*Table1[[#This Row],[Quantity]]</f>
        <v>246984</v>
      </c>
    </row>
    <row r="472" spans="1:9" x14ac:dyDescent="0.35">
      <c r="A472" t="s">
        <v>474</v>
      </c>
      <c r="B472" s="1">
        <v>45143</v>
      </c>
      <c r="C472" t="s">
        <v>30</v>
      </c>
      <c r="D472" t="s">
        <v>31</v>
      </c>
      <c r="E472" s="6">
        <v>30359</v>
      </c>
      <c r="F472">
        <v>7</v>
      </c>
      <c r="G472" t="str">
        <f>PROPER(TRIM(Table1[[#This Row],[Product]]))</f>
        <v>Monitor</v>
      </c>
      <c r="H472" t="str">
        <f>PROPER(TRIM(Table1[[#This Row],[Region]]))</f>
        <v>West</v>
      </c>
      <c r="I472" s="6">
        <f>Table1[[#This Row],[Sales]]*Table1[[#This Row],[Quantity]]</f>
        <v>212513</v>
      </c>
    </row>
    <row r="473" spans="1:9" x14ac:dyDescent="0.35">
      <c r="A473" t="s">
        <v>474</v>
      </c>
      <c r="B473" s="1">
        <v>45143</v>
      </c>
      <c r="C473" t="s">
        <v>30</v>
      </c>
      <c r="D473" t="s">
        <v>31</v>
      </c>
      <c r="E473" s="6">
        <v>30359</v>
      </c>
      <c r="F473">
        <v>7</v>
      </c>
      <c r="G473" t="str">
        <f>PROPER(TRIM(Table1[[#This Row],[Product]]))</f>
        <v>Monitor</v>
      </c>
      <c r="H473" t="str">
        <f>PROPER(TRIM(Table1[[#This Row],[Region]]))</f>
        <v>West</v>
      </c>
      <c r="I473" s="6">
        <f>Table1[[#This Row],[Sales]]*Table1[[#This Row],[Quantity]]</f>
        <v>212513</v>
      </c>
    </row>
    <row r="474" spans="1:9" x14ac:dyDescent="0.35">
      <c r="A474" t="s">
        <v>475</v>
      </c>
      <c r="B474" s="1">
        <v>44953</v>
      </c>
      <c r="C474" t="s">
        <v>33</v>
      </c>
      <c r="D474" t="s">
        <v>28</v>
      </c>
      <c r="E474" s="6">
        <v>2865</v>
      </c>
      <c r="F474">
        <v>2</v>
      </c>
      <c r="G474" t="str">
        <f>PROPER(TRIM(Table1[[#This Row],[Product]]))</f>
        <v>Phone</v>
      </c>
      <c r="H474" t="str">
        <f>PROPER(TRIM(Table1[[#This Row],[Region]]))</f>
        <v>South</v>
      </c>
      <c r="I474" s="6">
        <f>Table1[[#This Row],[Sales]]*Table1[[#This Row],[Quantity]]</f>
        <v>5730</v>
      </c>
    </row>
    <row r="475" spans="1:9" x14ac:dyDescent="0.35">
      <c r="A475" t="s">
        <v>476</v>
      </c>
      <c r="B475" s="1">
        <v>45068</v>
      </c>
      <c r="C475" t="s">
        <v>8</v>
      </c>
      <c r="D475" t="s">
        <v>13</v>
      </c>
      <c r="E475" s="6">
        <v>12470</v>
      </c>
      <c r="F475">
        <v>1</v>
      </c>
      <c r="G475" t="str">
        <f>PROPER(TRIM(Table1[[#This Row],[Product]]))</f>
        <v>Laptop</v>
      </c>
      <c r="H475" t="str">
        <f>PROPER(TRIM(Table1[[#This Row],[Region]]))</f>
        <v>North</v>
      </c>
      <c r="I475" s="6">
        <f>Table1[[#This Row],[Sales]]*Table1[[#This Row],[Quantity]]</f>
        <v>12470</v>
      </c>
    </row>
    <row r="476" spans="1:9" x14ac:dyDescent="0.35">
      <c r="A476" t="s">
        <v>477</v>
      </c>
      <c r="B476" s="1">
        <v>45051</v>
      </c>
      <c r="C476" t="s">
        <v>8</v>
      </c>
      <c r="D476" t="s">
        <v>28</v>
      </c>
      <c r="E476" s="6">
        <v>20880</v>
      </c>
      <c r="F476">
        <v>3</v>
      </c>
      <c r="G476" t="str">
        <f>PROPER(TRIM(Table1[[#This Row],[Product]]))</f>
        <v>Phone</v>
      </c>
      <c r="H476" t="str">
        <f>PROPER(TRIM(Table1[[#This Row],[Region]]))</f>
        <v>North</v>
      </c>
      <c r="I476" s="6">
        <f>Table1[[#This Row],[Sales]]*Table1[[#This Row],[Quantity]]</f>
        <v>62640</v>
      </c>
    </row>
    <row r="477" spans="1:9" x14ac:dyDescent="0.35">
      <c r="A477" t="s">
        <v>478</v>
      </c>
      <c r="B477" s="1">
        <v>45229</v>
      </c>
      <c r="C477" t="s">
        <v>8</v>
      </c>
      <c r="D477" t="s">
        <v>40</v>
      </c>
      <c r="E477" s="6">
        <v>33363</v>
      </c>
      <c r="F477">
        <v>7</v>
      </c>
      <c r="G477" t="str">
        <f>PROPER(TRIM(Table1[[#This Row],[Product]]))</f>
        <v>Headphones</v>
      </c>
      <c r="H477" t="str">
        <f>PROPER(TRIM(Table1[[#This Row],[Region]]))</f>
        <v>North</v>
      </c>
      <c r="I477" s="6">
        <f>Table1[[#This Row],[Sales]]*Table1[[#This Row],[Quantity]]</f>
        <v>233541</v>
      </c>
    </row>
    <row r="478" spans="1:9" x14ac:dyDescent="0.35">
      <c r="A478" t="s">
        <v>479</v>
      </c>
      <c r="B478" s="1">
        <v>45270</v>
      </c>
      <c r="C478" t="s">
        <v>8</v>
      </c>
      <c r="D478" t="s">
        <v>28</v>
      </c>
      <c r="E478" s="6">
        <v>17930</v>
      </c>
      <c r="F478">
        <v>3</v>
      </c>
      <c r="G478" t="str">
        <f>PROPER(TRIM(Table1[[#This Row],[Product]]))</f>
        <v>Phone</v>
      </c>
      <c r="H478" t="str">
        <f>PROPER(TRIM(Table1[[#This Row],[Region]]))</f>
        <v>North</v>
      </c>
      <c r="I478" s="6">
        <f>Table1[[#This Row],[Sales]]*Table1[[#This Row],[Quantity]]</f>
        <v>53790</v>
      </c>
    </row>
    <row r="479" spans="1:9" x14ac:dyDescent="0.35">
      <c r="A479" t="s">
        <v>480</v>
      </c>
      <c r="B479" s="1">
        <v>45211</v>
      </c>
      <c r="C479" t="s">
        <v>33</v>
      </c>
      <c r="D479" t="s">
        <v>25</v>
      </c>
      <c r="E479" s="6">
        <v>22131</v>
      </c>
      <c r="F479">
        <v>4</v>
      </c>
      <c r="G479" t="str">
        <f>PROPER(TRIM(Table1[[#This Row],[Product]]))</f>
        <v>Tablet</v>
      </c>
      <c r="H479" t="str">
        <f>PROPER(TRIM(Table1[[#This Row],[Region]]))</f>
        <v>South</v>
      </c>
      <c r="I479" s="6">
        <f>Table1[[#This Row],[Sales]]*Table1[[#This Row],[Quantity]]</f>
        <v>88524</v>
      </c>
    </row>
    <row r="480" spans="1:9" x14ac:dyDescent="0.35">
      <c r="A480" t="s">
        <v>481</v>
      </c>
      <c r="B480" s="1">
        <v>45214</v>
      </c>
      <c r="C480" t="s">
        <v>30</v>
      </c>
      <c r="D480" t="s">
        <v>40</v>
      </c>
      <c r="E480" s="6">
        <v>38308</v>
      </c>
      <c r="F480">
        <v>9</v>
      </c>
      <c r="G480" t="str">
        <f>PROPER(TRIM(Table1[[#This Row],[Product]]))</f>
        <v>Headphones</v>
      </c>
      <c r="H480" t="str">
        <f>PROPER(TRIM(Table1[[#This Row],[Region]]))</f>
        <v>West</v>
      </c>
      <c r="I480" s="6">
        <f>Table1[[#This Row],[Sales]]*Table1[[#This Row],[Quantity]]</f>
        <v>344772</v>
      </c>
    </row>
    <row r="481" spans="1:9" x14ac:dyDescent="0.35">
      <c r="A481" t="s">
        <v>482</v>
      </c>
      <c r="B481" s="1">
        <v>45109</v>
      </c>
      <c r="C481" t="s">
        <v>18</v>
      </c>
      <c r="D481" t="s">
        <v>13</v>
      </c>
      <c r="E481" s="6">
        <v>13750</v>
      </c>
      <c r="F481">
        <v>5</v>
      </c>
      <c r="G481" t="str">
        <f>PROPER(TRIM(Table1[[#This Row],[Product]]))</f>
        <v>Laptop</v>
      </c>
      <c r="H481" t="str">
        <f>PROPER(TRIM(Table1[[#This Row],[Region]]))</f>
        <v>East</v>
      </c>
      <c r="I481" s="6">
        <f>Table1[[#This Row],[Sales]]*Table1[[#This Row],[Quantity]]</f>
        <v>68750</v>
      </c>
    </row>
    <row r="482" spans="1:9" x14ac:dyDescent="0.35">
      <c r="A482" t="s">
        <v>483</v>
      </c>
      <c r="B482" s="1">
        <v>45255</v>
      </c>
      <c r="C482" t="s">
        <v>30</v>
      </c>
      <c r="D482" t="s">
        <v>25</v>
      </c>
      <c r="E482" s="6">
        <v>1156</v>
      </c>
      <c r="F482">
        <v>6</v>
      </c>
      <c r="G482" t="str">
        <f>PROPER(TRIM(Table1[[#This Row],[Product]]))</f>
        <v>Tablet</v>
      </c>
      <c r="H482" t="str">
        <f>PROPER(TRIM(Table1[[#This Row],[Region]]))</f>
        <v>West</v>
      </c>
      <c r="I482" s="6">
        <f>Table1[[#This Row],[Sales]]*Table1[[#This Row],[Quantity]]</f>
        <v>6936</v>
      </c>
    </row>
    <row r="483" spans="1:9" x14ac:dyDescent="0.35">
      <c r="A483" t="s">
        <v>484</v>
      </c>
      <c r="B483" s="1">
        <v>45133</v>
      </c>
      <c r="C483" t="s">
        <v>8</v>
      </c>
      <c r="D483" t="s">
        <v>31</v>
      </c>
      <c r="E483" s="6">
        <v>27038</v>
      </c>
      <c r="F483">
        <v>2</v>
      </c>
      <c r="G483" t="str">
        <f>PROPER(TRIM(Table1[[#This Row],[Product]]))</f>
        <v>Monitor</v>
      </c>
      <c r="H483" t="str">
        <f>PROPER(TRIM(Table1[[#This Row],[Region]]))</f>
        <v>North</v>
      </c>
      <c r="I483" s="6">
        <f>Table1[[#This Row],[Sales]]*Table1[[#This Row],[Quantity]]</f>
        <v>54076</v>
      </c>
    </row>
    <row r="484" spans="1:9" x14ac:dyDescent="0.35">
      <c r="A484" t="s">
        <v>485</v>
      </c>
      <c r="B484" s="1">
        <v>45257</v>
      </c>
      <c r="C484" t="s">
        <v>33</v>
      </c>
      <c r="D484" t="s">
        <v>25</v>
      </c>
      <c r="E484" s="6">
        <v>26668</v>
      </c>
      <c r="F484">
        <v>7</v>
      </c>
      <c r="G484" t="str">
        <f>PROPER(TRIM(Table1[[#This Row],[Product]]))</f>
        <v>Tablet</v>
      </c>
      <c r="H484" t="str">
        <f>PROPER(TRIM(Table1[[#This Row],[Region]]))</f>
        <v>South</v>
      </c>
      <c r="I484" s="6">
        <f>Table1[[#This Row],[Sales]]*Table1[[#This Row],[Quantity]]</f>
        <v>186676</v>
      </c>
    </row>
    <row r="485" spans="1:9" x14ac:dyDescent="0.35">
      <c r="A485" t="s">
        <v>486</v>
      </c>
      <c r="B485" s="1">
        <v>44986</v>
      </c>
      <c r="C485" t="s">
        <v>8</v>
      </c>
      <c r="D485" t="s">
        <v>31</v>
      </c>
      <c r="E485" s="6">
        <v>5196</v>
      </c>
      <c r="F485">
        <v>8</v>
      </c>
      <c r="G485" t="str">
        <f>PROPER(TRIM(Table1[[#This Row],[Product]]))</f>
        <v>Monitor</v>
      </c>
      <c r="H485" t="str">
        <f>PROPER(TRIM(Table1[[#This Row],[Region]]))</f>
        <v>North</v>
      </c>
      <c r="I485" s="6">
        <f>Table1[[#This Row],[Sales]]*Table1[[#This Row],[Quantity]]</f>
        <v>41568</v>
      </c>
    </row>
    <row r="486" spans="1:9" x14ac:dyDescent="0.35">
      <c r="A486" t="s">
        <v>487</v>
      </c>
      <c r="B486" s="1">
        <v>45025</v>
      </c>
      <c r="C486" t="s">
        <v>8</v>
      </c>
      <c r="D486" t="s">
        <v>31</v>
      </c>
      <c r="E486" s="6">
        <v>117</v>
      </c>
      <c r="F486">
        <v>7</v>
      </c>
      <c r="G486" t="str">
        <f>PROPER(TRIM(Table1[[#This Row],[Product]]))</f>
        <v>Monitor</v>
      </c>
      <c r="H486" t="str">
        <f>PROPER(TRIM(Table1[[#This Row],[Region]]))</f>
        <v>North</v>
      </c>
      <c r="I486" s="6">
        <f>Table1[[#This Row],[Sales]]*Table1[[#This Row],[Quantity]]</f>
        <v>819</v>
      </c>
    </row>
    <row r="487" spans="1:9" x14ac:dyDescent="0.35">
      <c r="A487" t="s">
        <v>488</v>
      </c>
      <c r="B487" s="1">
        <v>45218</v>
      </c>
      <c r="C487" t="s">
        <v>18</v>
      </c>
      <c r="D487" t="s">
        <v>40</v>
      </c>
      <c r="E487" s="6">
        <v>14803</v>
      </c>
      <c r="F487">
        <v>8</v>
      </c>
      <c r="G487" t="str">
        <f>PROPER(TRIM(Table1[[#This Row],[Product]]))</f>
        <v>Headphones</v>
      </c>
      <c r="H487" t="str">
        <f>PROPER(TRIM(Table1[[#This Row],[Region]]))</f>
        <v>East</v>
      </c>
      <c r="I487" s="6">
        <f>Table1[[#This Row],[Sales]]*Table1[[#This Row],[Quantity]]</f>
        <v>118424</v>
      </c>
    </row>
    <row r="488" spans="1:9" x14ac:dyDescent="0.35">
      <c r="A488" t="s">
        <v>489</v>
      </c>
      <c r="B488" s="1">
        <v>45015</v>
      </c>
      <c r="C488" t="s">
        <v>8</v>
      </c>
      <c r="D488" t="s">
        <v>31</v>
      </c>
      <c r="E488" s="6">
        <v>559</v>
      </c>
      <c r="F488">
        <v>5</v>
      </c>
      <c r="G488" t="str">
        <f>PROPER(TRIM(Table1[[#This Row],[Product]]))</f>
        <v>Monitor</v>
      </c>
      <c r="H488" t="str">
        <f>PROPER(TRIM(Table1[[#This Row],[Region]]))</f>
        <v>North</v>
      </c>
      <c r="I488" s="6">
        <f>Table1[[#This Row],[Sales]]*Table1[[#This Row],[Quantity]]</f>
        <v>2795</v>
      </c>
    </row>
    <row r="489" spans="1:9" x14ac:dyDescent="0.35">
      <c r="A489" t="s">
        <v>490</v>
      </c>
      <c r="B489" s="1">
        <v>45153</v>
      </c>
      <c r="C489" t="s">
        <v>18</v>
      </c>
      <c r="D489" t="s">
        <v>31</v>
      </c>
      <c r="E489" s="6">
        <v>38491</v>
      </c>
      <c r="F489">
        <v>4</v>
      </c>
      <c r="G489" t="str">
        <f>PROPER(TRIM(Table1[[#This Row],[Product]]))</f>
        <v>Monitor</v>
      </c>
      <c r="H489" t="str">
        <f>PROPER(TRIM(Table1[[#This Row],[Region]]))</f>
        <v>East</v>
      </c>
      <c r="I489" s="6">
        <f>Table1[[#This Row],[Sales]]*Table1[[#This Row],[Quantity]]</f>
        <v>153964</v>
      </c>
    </row>
    <row r="490" spans="1:9" x14ac:dyDescent="0.35">
      <c r="A490" t="s">
        <v>491</v>
      </c>
      <c r="B490" s="1">
        <v>45095</v>
      </c>
      <c r="C490" t="s">
        <v>33</v>
      </c>
      <c r="D490" t="s">
        <v>13</v>
      </c>
      <c r="E490" s="6">
        <v>8713</v>
      </c>
      <c r="F490">
        <v>8</v>
      </c>
      <c r="G490" t="str">
        <f>PROPER(TRIM(Table1[[#This Row],[Product]]))</f>
        <v>Laptop</v>
      </c>
      <c r="H490" t="str">
        <f>PROPER(TRIM(Table1[[#This Row],[Region]]))</f>
        <v>South</v>
      </c>
      <c r="I490" s="6">
        <f>Table1[[#This Row],[Sales]]*Table1[[#This Row],[Quantity]]</f>
        <v>69704</v>
      </c>
    </row>
    <row r="491" spans="1:9" x14ac:dyDescent="0.35">
      <c r="A491" t="s">
        <v>492</v>
      </c>
      <c r="B491" s="1">
        <v>45004</v>
      </c>
      <c r="C491" t="s">
        <v>18</v>
      </c>
      <c r="D491" t="s">
        <v>40</v>
      </c>
      <c r="E491" s="6">
        <v>19016</v>
      </c>
      <c r="F491">
        <v>9</v>
      </c>
      <c r="G491" t="str">
        <f>PROPER(TRIM(Table1[[#This Row],[Product]]))</f>
        <v>Headphones</v>
      </c>
      <c r="H491" t="str">
        <f>PROPER(TRIM(Table1[[#This Row],[Region]]))</f>
        <v>East</v>
      </c>
      <c r="I491" s="6">
        <f>Table1[[#This Row],[Sales]]*Table1[[#This Row],[Quantity]]</f>
        <v>171144</v>
      </c>
    </row>
    <row r="492" spans="1:9" x14ac:dyDescent="0.35">
      <c r="A492" t="s">
        <v>493</v>
      </c>
      <c r="B492" s="1">
        <v>45229</v>
      </c>
      <c r="C492" t="s">
        <v>33</v>
      </c>
      <c r="D492" t="s">
        <v>40</v>
      </c>
      <c r="E492" s="6">
        <v>27258</v>
      </c>
      <c r="F492">
        <v>2</v>
      </c>
      <c r="G492" t="str">
        <f>PROPER(TRIM(Table1[[#This Row],[Product]]))</f>
        <v>Headphones</v>
      </c>
      <c r="H492" t="str">
        <f>PROPER(TRIM(Table1[[#This Row],[Region]]))</f>
        <v>South</v>
      </c>
      <c r="I492" s="6">
        <f>Table1[[#This Row],[Sales]]*Table1[[#This Row],[Quantity]]</f>
        <v>54516</v>
      </c>
    </row>
    <row r="493" spans="1:9" x14ac:dyDescent="0.35">
      <c r="A493" t="s">
        <v>494</v>
      </c>
      <c r="B493" s="1">
        <v>45223</v>
      </c>
      <c r="C493" t="s">
        <v>30</v>
      </c>
      <c r="D493" t="s">
        <v>13</v>
      </c>
      <c r="E493" s="6">
        <v>48849</v>
      </c>
      <c r="F493">
        <v>8</v>
      </c>
      <c r="G493" t="str">
        <f>PROPER(TRIM(Table1[[#This Row],[Product]]))</f>
        <v>Laptop</v>
      </c>
      <c r="H493" t="str">
        <f>PROPER(TRIM(Table1[[#This Row],[Region]]))</f>
        <v>West</v>
      </c>
      <c r="I493" s="6">
        <f>Table1[[#This Row],[Sales]]*Table1[[#This Row],[Quantity]]</f>
        <v>390792</v>
      </c>
    </row>
    <row r="494" spans="1:9" x14ac:dyDescent="0.35">
      <c r="A494" t="s">
        <v>495</v>
      </c>
      <c r="B494" s="1">
        <v>45084</v>
      </c>
      <c r="C494" t="s">
        <v>18</v>
      </c>
      <c r="D494" t="s">
        <v>13</v>
      </c>
      <c r="E494" s="6">
        <v>40258</v>
      </c>
      <c r="F494">
        <v>4</v>
      </c>
      <c r="G494" t="str">
        <f>PROPER(TRIM(Table1[[#This Row],[Product]]))</f>
        <v>Laptop</v>
      </c>
      <c r="H494" t="str">
        <f>PROPER(TRIM(Table1[[#This Row],[Region]]))</f>
        <v>East</v>
      </c>
      <c r="I494" s="6">
        <f>Table1[[#This Row],[Sales]]*Table1[[#This Row],[Quantity]]</f>
        <v>161032</v>
      </c>
    </row>
    <row r="495" spans="1:9" x14ac:dyDescent="0.35">
      <c r="A495" t="s">
        <v>496</v>
      </c>
      <c r="B495" s="1">
        <v>45259</v>
      </c>
      <c r="C495" t="s">
        <v>33</v>
      </c>
      <c r="D495" t="s">
        <v>28</v>
      </c>
      <c r="E495" s="6">
        <v>32214</v>
      </c>
      <c r="F495">
        <v>7</v>
      </c>
      <c r="G495" t="str">
        <f>PROPER(TRIM(Table1[[#This Row],[Product]]))</f>
        <v>Phone</v>
      </c>
      <c r="H495" t="str">
        <f>PROPER(TRIM(Table1[[#This Row],[Region]]))</f>
        <v>South</v>
      </c>
      <c r="I495" s="6">
        <f>Table1[[#This Row],[Sales]]*Table1[[#This Row],[Quantity]]</f>
        <v>225498</v>
      </c>
    </row>
    <row r="496" spans="1:9" x14ac:dyDescent="0.35">
      <c r="A496" t="s">
        <v>497</v>
      </c>
      <c r="B496" s="1">
        <v>45144</v>
      </c>
      <c r="C496" t="s">
        <v>8</v>
      </c>
      <c r="D496" t="s">
        <v>13</v>
      </c>
      <c r="E496" s="6">
        <v>39886</v>
      </c>
      <c r="F496">
        <v>5</v>
      </c>
      <c r="G496" t="str">
        <f>PROPER(TRIM(Table1[[#This Row],[Product]]))</f>
        <v>Laptop</v>
      </c>
      <c r="H496" t="str">
        <f>PROPER(TRIM(Table1[[#This Row],[Region]]))</f>
        <v>North</v>
      </c>
      <c r="I496" s="6">
        <f>Table1[[#This Row],[Sales]]*Table1[[#This Row],[Quantity]]</f>
        <v>199430</v>
      </c>
    </row>
    <row r="497" spans="1:9" x14ac:dyDescent="0.35">
      <c r="A497" t="s">
        <v>498</v>
      </c>
      <c r="B497" s="1">
        <v>45165</v>
      </c>
      <c r="C497" t="s">
        <v>30</v>
      </c>
      <c r="D497" t="s">
        <v>28</v>
      </c>
      <c r="E497" s="6">
        <v>45466</v>
      </c>
      <c r="F497">
        <v>10</v>
      </c>
      <c r="G497" t="str">
        <f>PROPER(TRIM(Table1[[#This Row],[Product]]))</f>
        <v>Phone</v>
      </c>
      <c r="H497" t="str">
        <f>PROPER(TRIM(Table1[[#This Row],[Region]]))</f>
        <v>West</v>
      </c>
      <c r="I497" s="6">
        <f>Table1[[#This Row],[Sales]]*Table1[[#This Row],[Quantity]]</f>
        <v>454660</v>
      </c>
    </row>
    <row r="498" spans="1:9" x14ac:dyDescent="0.35">
      <c r="A498" t="s">
        <v>499</v>
      </c>
      <c r="B498" s="1">
        <v>45104</v>
      </c>
      <c r="C498" t="s">
        <v>33</v>
      </c>
      <c r="D498" t="s">
        <v>31</v>
      </c>
      <c r="E498" s="6">
        <v>20932</v>
      </c>
      <c r="F498">
        <v>6</v>
      </c>
      <c r="G498" t="str">
        <f>PROPER(TRIM(Table1[[#This Row],[Product]]))</f>
        <v>Monitor</v>
      </c>
      <c r="H498" t="str">
        <f>PROPER(TRIM(Table1[[#This Row],[Region]]))</f>
        <v>South</v>
      </c>
      <c r="I498" s="6">
        <f>Table1[[#This Row],[Sales]]*Table1[[#This Row],[Quantity]]</f>
        <v>125592</v>
      </c>
    </row>
    <row r="499" spans="1:9" x14ac:dyDescent="0.35">
      <c r="A499" t="s">
        <v>500</v>
      </c>
      <c r="B499" s="1">
        <v>45181</v>
      </c>
      <c r="C499" t="s">
        <v>8</v>
      </c>
      <c r="D499" t="s">
        <v>31</v>
      </c>
      <c r="E499" s="6">
        <v>30274</v>
      </c>
      <c r="F499">
        <v>8</v>
      </c>
      <c r="G499" t="str">
        <f>PROPER(TRIM(Table1[[#This Row],[Product]]))</f>
        <v>Monitor</v>
      </c>
      <c r="H499" t="str">
        <f>PROPER(TRIM(Table1[[#This Row],[Region]]))</f>
        <v>North</v>
      </c>
      <c r="I499" s="6">
        <f>Table1[[#This Row],[Sales]]*Table1[[#This Row],[Quantity]]</f>
        <v>242192</v>
      </c>
    </row>
    <row r="500" spans="1:9" x14ac:dyDescent="0.35">
      <c r="A500" t="s">
        <v>501</v>
      </c>
      <c r="B500" s="1">
        <v>45121</v>
      </c>
      <c r="C500" t="s">
        <v>18</v>
      </c>
      <c r="D500" t="s">
        <v>25</v>
      </c>
      <c r="E500" s="6">
        <v>35335</v>
      </c>
      <c r="F500">
        <v>9</v>
      </c>
      <c r="G500" t="str">
        <f>PROPER(TRIM(Table1[[#This Row],[Product]]))</f>
        <v>Tablet</v>
      </c>
      <c r="H500" t="str">
        <f>PROPER(TRIM(Table1[[#This Row],[Region]]))</f>
        <v>East</v>
      </c>
      <c r="I500" s="6">
        <f>Table1[[#This Row],[Sales]]*Table1[[#This Row],[Quantity]]</f>
        <v>318015</v>
      </c>
    </row>
    <row r="501" spans="1:9" x14ac:dyDescent="0.35">
      <c r="A501" t="s">
        <v>502</v>
      </c>
      <c r="B501" s="1">
        <v>45238</v>
      </c>
      <c r="C501" t="s">
        <v>18</v>
      </c>
      <c r="D501" t="s">
        <v>25</v>
      </c>
      <c r="E501" s="6">
        <v>45722</v>
      </c>
      <c r="F501">
        <v>1</v>
      </c>
      <c r="G501" t="str">
        <f>PROPER(TRIM(Table1[[#This Row],[Product]]))</f>
        <v>Tablet</v>
      </c>
      <c r="H501" t="str">
        <f>PROPER(TRIM(Table1[[#This Row],[Region]]))</f>
        <v>East</v>
      </c>
      <c r="I501" s="6">
        <f>Table1[[#This Row],[Sales]]*Table1[[#This Row],[Quantity]]</f>
        <v>45722</v>
      </c>
    </row>
    <row r="502" spans="1:9" x14ac:dyDescent="0.35">
      <c r="A502" t="s">
        <v>503</v>
      </c>
      <c r="B502" s="1">
        <v>45216</v>
      </c>
      <c r="C502" t="s">
        <v>30</v>
      </c>
      <c r="D502" t="s">
        <v>31</v>
      </c>
      <c r="E502" s="6">
        <v>48810</v>
      </c>
      <c r="F502">
        <v>7</v>
      </c>
      <c r="G502" t="str">
        <f>PROPER(TRIM(Table1[[#This Row],[Product]]))</f>
        <v>Monitor</v>
      </c>
      <c r="H502" t="str">
        <f>PROPER(TRIM(Table1[[#This Row],[Region]]))</f>
        <v>West</v>
      </c>
      <c r="I502" s="6">
        <f>Table1[[#This Row],[Sales]]*Table1[[#This Row],[Quantity]]</f>
        <v>341670</v>
      </c>
    </row>
    <row r="503" spans="1:9" x14ac:dyDescent="0.35">
      <c r="A503" t="s">
        <v>504</v>
      </c>
      <c r="B503" s="1">
        <v>45215</v>
      </c>
      <c r="C503" t="s">
        <v>30</v>
      </c>
      <c r="D503" t="s">
        <v>28</v>
      </c>
      <c r="E503" s="6">
        <v>16553</v>
      </c>
      <c r="F503">
        <v>4</v>
      </c>
      <c r="G503" t="str">
        <f>PROPER(TRIM(Table1[[#This Row],[Product]]))</f>
        <v>Phone</v>
      </c>
      <c r="H503" t="str">
        <f>PROPER(TRIM(Table1[[#This Row],[Region]]))</f>
        <v>West</v>
      </c>
      <c r="I503" s="6">
        <f>Table1[[#This Row],[Sales]]*Table1[[#This Row],[Quantity]]</f>
        <v>66212</v>
      </c>
    </row>
    <row r="504" spans="1:9" x14ac:dyDescent="0.35">
      <c r="A504" t="s">
        <v>505</v>
      </c>
      <c r="B504" s="1">
        <v>45188</v>
      </c>
      <c r="C504" t="s">
        <v>30</v>
      </c>
      <c r="D504" t="s">
        <v>31</v>
      </c>
      <c r="E504" s="6">
        <v>8547</v>
      </c>
      <c r="F504">
        <v>1</v>
      </c>
      <c r="G504" t="str">
        <f>PROPER(TRIM(Table1[[#This Row],[Product]]))</f>
        <v>Monitor</v>
      </c>
      <c r="H504" t="str">
        <f>PROPER(TRIM(Table1[[#This Row],[Region]]))</f>
        <v>West</v>
      </c>
      <c r="I504" s="6">
        <f>Table1[[#This Row],[Sales]]*Table1[[#This Row],[Quantity]]</f>
        <v>8547</v>
      </c>
    </row>
    <row r="505" spans="1:9" x14ac:dyDescent="0.35">
      <c r="A505" t="s">
        <v>506</v>
      </c>
      <c r="B505" s="1">
        <v>45290</v>
      </c>
      <c r="C505" t="s">
        <v>8</v>
      </c>
      <c r="D505" t="s">
        <v>13</v>
      </c>
      <c r="E505" s="6">
        <v>37138</v>
      </c>
      <c r="F505">
        <v>1</v>
      </c>
      <c r="G505" t="str">
        <f>PROPER(TRIM(Table1[[#This Row],[Product]]))</f>
        <v>Laptop</v>
      </c>
      <c r="H505" t="str">
        <f>PROPER(TRIM(Table1[[#This Row],[Region]]))</f>
        <v>North</v>
      </c>
      <c r="I505" s="6">
        <f>Table1[[#This Row],[Sales]]*Table1[[#This Row],[Quantity]]</f>
        <v>37138</v>
      </c>
    </row>
    <row r="506" spans="1:9" x14ac:dyDescent="0.35">
      <c r="A506" t="s">
        <v>507</v>
      </c>
      <c r="B506" s="1">
        <v>45278</v>
      </c>
      <c r="C506" t="s">
        <v>30</v>
      </c>
      <c r="D506" t="s">
        <v>25</v>
      </c>
      <c r="E506" s="6">
        <v>44610</v>
      </c>
      <c r="F506">
        <v>6</v>
      </c>
      <c r="G506" t="str">
        <f>PROPER(TRIM(Table1[[#This Row],[Product]]))</f>
        <v>Tablet</v>
      </c>
      <c r="H506" t="str">
        <f>PROPER(TRIM(Table1[[#This Row],[Region]]))</f>
        <v>West</v>
      </c>
      <c r="I506" s="6">
        <f>Table1[[#This Row],[Sales]]*Table1[[#This Row],[Quantity]]</f>
        <v>267660</v>
      </c>
    </row>
    <row r="507" spans="1:9" x14ac:dyDescent="0.35">
      <c r="A507" t="s">
        <v>508</v>
      </c>
      <c r="B507" s="1">
        <v>45022</v>
      </c>
      <c r="C507" t="s">
        <v>30</v>
      </c>
      <c r="D507" t="s">
        <v>28</v>
      </c>
      <c r="E507" s="6">
        <v>20293</v>
      </c>
      <c r="F507">
        <v>4</v>
      </c>
      <c r="G507" t="str">
        <f>PROPER(TRIM(Table1[[#This Row],[Product]]))</f>
        <v>Phone</v>
      </c>
      <c r="H507" t="str">
        <f>PROPER(TRIM(Table1[[#This Row],[Region]]))</f>
        <v>West</v>
      </c>
      <c r="I507" s="6">
        <f>Table1[[#This Row],[Sales]]*Table1[[#This Row],[Quantity]]</f>
        <v>81172</v>
      </c>
    </row>
    <row r="508" spans="1:9" x14ac:dyDescent="0.35">
      <c r="A508" t="s">
        <v>509</v>
      </c>
      <c r="B508" s="1">
        <v>45117</v>
      </c>
      <c r="C508" t="s">
        <v>33</v>
      </c>
      <c r="D508" t="s">
        <v>40</v>
      </c>
      <c r="E508" s="6">
        <v>24111</v>
      </c>
      <c r="F508">
        <v>4</v>
      </c>
      <c r="G508" t="str">
        <f>PROPER(TRIM(Table1[[#This Row],[Product]]))</f>
        <v>Headphones</v>
      </c>
      <c r="H508" t="str">
        <f>PROPER(TRIM(Table1[[#This Row],[Region]]))</f>
        <v>South</v>
      </c>
      <c r="I508" s="6">
        <f>Table1[[#This Row],[Sales]]*Table1[[#This Row],[Quantity]]</f>
        <v>96444</v>
      </c>
    </row>
    <row r="509" spans="1:9" x14ac:dyDescent="0.35">
      <c r="A509" t="s">
        <v>510</v>
      </c>
      <c r="B509" s="1">
        <v>45250</v>
      </c>
      <c r="C509" t="s">
        <v>18</v>
      </c>
      <c r="D509" t="s">
        <v>31</v>
      </c>
      <c r="E509" s="6">
        <v>3638</v>
      </c>
      <c r="F509">
        <v>6</v>
      </c>
      <c r="G509" t="str">
        <f>PROPER(TRIM(Table1[[#This Row],[Product]]))</f>
        <v>Monitor</v>
      </c>
      <c r="H509" t="str">
        <f>PROPER(TRIM(Table1[[#This Row],[Region]]))</f>
        <v>East</v>
      </c>
      <c r="I509" s="6">
        <f>Table1[[#This Row],[Sales]]*Table1[[#This Row],[Quantity]]</f>
        <v>21828</v>
      </c>
    </row>
    <row r="510" spans="1:9" x14ac:dyDescent="0.35">
      <c r="A510" t="s">
        <v>511</v>
      </c>
      <c r="B510" s="1">
        <v>45051</v>
      </c>
      <c r="C510" t="s">
        <v>18</v>
      </c>
      <c r="D510" t="s">
        <v>40</v>
      </c>
      <c r="E510" s="6">
        <v>27303</v>
      </c>
      <c r="F510">
        <v>7</v>
      </c>
      <c r="G510" t="str">
        <f>PROPER(TRIM(Table1[[#This Row],[Product]]))</f>
        <v>Headphones</v>
      </c>
      <c r="H510" t="str">
        <f>PROPER(TRIM(Table1[[#This Row],[Region]]))</f>
        <v>East</v>
      </c>
      <c r="I510" s="6">
        <f>Table1[[#This Row],[Sales]]*Table1[[#This Row],[Quantity]]</f>
        <v>191121</v>
      </c>
    </row>
    <row r="511" spans="1:9" x14ac:dyDescent="0.35">
      <c r="A511" t="s">
        <v>512</v>
      </c>
      <c r="B511" s="1">
        <v>45121</v>
      </c>
      <c r="C511" t="s">
        <v>30</v>
      </c>
      <c r="D511" t="s">
        <v>31</v>
      </c>
      <c r="E511" s="6">
        <v>46054</v>
      </c>
      <c r="F511">
        <v>10</v>
      </c>
      <c r="G511" t="str">
        <f>PROPER(TRIM(Table1[[#This Row],[Product]]))</f>
        <v>Monitor</v>
      </c>
      <c r="H511" t="str">
        <f>PROPER(TRIM(Table1[[#This Row],[Region]]))</f>
        <v>West</v>
      </c>
      <c r="I511" s="6">
        <f>Table1[[#This Row],[Sales]]*Table1[[#This Row],[Quantity]]</f>
        <v>460540</v>
      </c>
    </row>
    <row r="512" spans="1:9" x14ac:dyDescent="0.35">
      <c r="A512" t="s">
        <v>513</v>
      </c>
      <c r="B512" s="1">
        <v>45290</v>
      </c>
      <c r="C512" t="s">
        <v>18</v>
      </c>
      <c r="D512" t="s">
        <v>40</v>
      </c>
      <c r="E512" s="6">
        <v>43269</v>
      </c>
      <c r="F512">
        <v>9</v>
      </c>
      <c r="G512" t="str">
        <f>PROPER(TRIM(Table1[[#This Row],[Product]]))</f>
        <v>Headphones</v>
      </c>
      <c r="H512" t="str">
        <f>PROPER(TRIM(Table1[[#This Row],[Region]]))</f>
        <v>East</v>
      </c>
      <c r="I512" s="6">
        <f>Table1[[#This Row],[Sales]]*Table1[[#This Row],[Quantity]]</f>
        <v>389421</v>
      </c>
    </row>
    <row r="513" spans="1:9" x14ac:dyDescent="0.35">
      <c r="A513" t="s">
        <v>514</v>
      </c>
      <c r="B513" s="1">
        <v>45143</v>
      </c>
      <c r="C513" t="s">
        <v>8</v>
      </c>
      <c r="D513" t="s">
        <v>40</v>
      </c>
      <c r="E513" s="6">
        <v>17618</v>
      </c>
      <c r="F513">
        <v>8</v>
      </c>
      <c r="G513" t="str">
        <f>PROPER(TRIM(Table1[[#This Row],[Product]]))</f>
        <v>Headphones</v>
      </c>
      <c r="H513" t="str">
        <f>PROPER(TRIM(Table1[[#This Row],[Region]]))</f>
        <v>North</v>
      </c>
      <c r="I513" s="6">
        <f>Table1[[#This Row],[Sales]]*Table1[[#This Row],[Quantity]]</f>
        <v>140944</v>
      </c>
    </row>
    <row r="514" spans="1:9" x14ac:dyDescent="0.35">
      <c r="A514" t="s">
        <v>515</v>
      </c>
      <c r="B514" s="1">
        <v>44979</v>
      </c>
      <c r="C514" t="s">
        <v>8</v>
      </c>
      <c r="D514" t="s">
        <v>40</v>
      </c>
      <c r="E514" s="6">
        <v>9033</v>
      </c>
      <c r="F514">
        <v>2</v>
      </c>
      <c r="G514" t="str">
        <f>PROPER(TRIM(Table1[[#This Row],[Product]]))</f>
        <v>Headphones</v>
      </c>
      <c r="H514" t="str">
        <f>PROPER(TRIM(Table1[[#This Row],[Region]]))</f>
        <v>North</v>
      </c>
      <c r="I514" s="6">
        <f>Table1[[#This Row],[Sales]]*Table1[[#This Row],[Quantity]]</f>
        <v>18066</v>
      </c>
    </row>
    <row r="515" spans="1:9" x14ac:dyDescent="0.35">
      <c r="A515" t="s">
        <v>516</v>
      </c>
      <c r="B515" s="1">
        <v>45148</v>
      </c>
      <c r="C515" t="s">
        <v>18</v>
      </c>
      <c r="D515" t="s">
        <v>25</v>
      </c>
      <c r="E515" s="6">
        <v>21214</v>
      </c>
      <c r="F515">
        <v>1</v>
      </c>
      <c r="G515" t="str">
        <f>PROPER(TRIM(Table1[[#This Row],[Product]]))</f>
        <v>Tablet</v>
      </c>
      <c r="H515" t="str">
        <f>PROPER(TRIM(Table1[[#This Row],[Region]]))</f>
        <v>East</v>
      </c>
      <c r="I515" s="6">
        <f>Table1[[#This Row],[Sales]]*Table1[[#This Row],[Quantity]]</f>
        <v>21214</v>
      </c>
    </row>
    <row r="516" spans="1:9" x14ac:dyDescent="0.35">
      <c r="A516" t="s">
        <v>517</v>
      </c>
      <c r="B516" s="1">
        <v>44937</v>
      </c>
      <c r="C516" t="s">
        <v>30</v>
      </c>
      <c r="D516" t="s">
        <v>28</v>
      </c>
      <c r="E516" s="6">
        <v>45069</v>
      </c>
      <c r="F516">
        <v>3</v>
      </c>
      <c r="G516" t="str">
        <f>PROPER(TRIM(Table1[[#This Row],[Product]]))</f>
        <v>Phone</v>
      </c>
      <c r="H516" t="str">
        <f>PROPER(TRIM(Table1[[#This Row],[Region]]))</f>
        <v>West</v>
      </c>
      <c r="I516" s="6">
        <f>Table1[[#This Row],[Sales]]*Table1[[#This Row],[Quantity]]</f>
        <v>135207</v>
      </c>
    </row>
    <row r="517" spans="1:9" x14ac:dyDescent="0.35">
      <c r="A517" t="s">
        <v>518</v>
      </c>
      <c r="B517" s="1">
        <v>45181</v>
      </c>
      <c r="C517" t="s">
        <v>30</v>
      </c>
      <c r="D517" t="s">
        <v>25</v>
      </c>
      <c r="E517" s="6">
        <v>14334</v>
      </c>
      <c r="F517">
        <v>4</v>
      </c>
      <c r="G517" t="str">
        <f>PROPER(TRIM(Table1[[#This Row],[Product]]))</f>
        <v>Tablet</v>
      </c>
      <c r="H517" t="str">
        <f>PROPER(TRIM(Table1[[#This Row],[Region]]))</f>
        <v>West</v>
      </c>
      <c r="I517" s="6">
        <f>Table1[[#This Row],[Sales]]*Table1[[#This Row],[Quantity]]</f>
        <v>57336</v>
      </c>
    </row>
    <row r="518" spans="1:9" x14ac:dyDescent="0.35">
      <c r="A518" t="s">
        <v>519</v>
      </c>
      <c r="B518" s="1">
        <v>45252</v>
      </c>
      <c r="C518" t="s">
        <v>33</v>
      </c>
      <c r="D518" t="s">
        <v>13</v>
      </c>
      <c r="E518" s="6">
        <v>45965</v>
      </c>
      <c r="F518">
        <v>6</v>
      </c>
      <c r="G518" t="str">
        <f>PROPER(TRIM(Table1[[#This Row],[Product]]))</f>
        <v>Laptop</v>
      </c>
      <c r="H518" t="str">
        <f>PROPER(TRIM(Table1[[#This Row],[Region]]))</f>
        <v>South</v>
      </c>
      <c r="I518" s="6">
        <f>Table1[[#This Row],[Sales]]*Table1[[#This Row],[Quantity]]</f>
        <v>275790</v>
      </c>
    </row>
    <row r="519" spans="1:9" x14ac:dyDescent="0.35">
      <c r="A519" t="s">
        <v>520</v>
      </c>
      <c r="B519" s="1">
        <v>45132</v>
      </c>
      <c r="C519" t="s">
        <v>18</v>
      </c>
      <c r="D519" t="s">
        <v>25</v>
      </c>
      <c r="E519" s="6">
        <v>19510</v>
      </c>
      <c r="F519">
        <v>4</v>
      </c>
      <c r="G519" t="str">
        <f>PROPER(TRIM(Table1[[#This Row],[Product]]))</f>
        <v>Tablet</v>
      </c>
      <c r="H519" t="str">
        <f>PROPER(TRIM(Table1[[#This Row],[Region]]))</f>
        <v>East</v>
      </c>
      <c r="I519" s="6">
        <f>Table1[[#This Row],[Sales]]*Table1[[#This Row],[Quantity]]</f>
        <v>78040</v>
      </c>
    </row>
    <row r="520" spans="1:9" x14ac:dyDescent="0.35">
      <c r="A520" t="s">
        <v>521</v>
      </c>
      <c r="B520" s="1">
        <v>45202</v>
      </c>
      <c r="C520" t="s">
        <v>30</v>
      </c>
      <c r="D520" t="s">
        <v>40</v>
      </c>
      <c r="E520" s="6">
        <v>20032</v>
      </c>
      <c r="F520">
        <v>4</v>
      </c>
      <c r="G520" t="str">
        <f>PROPER(TRIM(Table1[[#This Row],[Product]]))</f>
        <v>Headphones</v>
      </c>
      <c r="H520" t="str">
        <f>PROPER(TRIM(Table1[[#This Row],[Region]]))</f>
        <v>West</v>
      </c>
      <c r="I520" s="6">
        <f>Table1[[#This Row],[Sales]]*Table1[[#This Row],[Quantity]]</f>
        <v>80128</v>
      </c>
    </row>
    <row r="521" spans="1:9" x14ac:dyDescent="0.35">
      <c r="A521" t="s">
        <v>522</v>
      </c>
      <c r="B521" s="1">
        <v>44997</v>
      </c>
      <c r="C521" t="s">
        <v>30</v>
      </c>
      <c r="D521" t="s">
        <v>28</v>
      </c>
      <c r="E521" s="6">
        <v>15326</v>
      </c>
      <c r="F521">
        <v>10</v>
      </c>
      <c r="G521" t="str">
        <f>PROPER(TRIM(Table1[[#This Row],[Product]]))</f>
        <v>Phone</v>
      </c>
      <c r="H521" t="str">
        <f>PROPER(TRIM(Table1[[#This Row],[Region]]))</f>
        <v>West</v>
      </c>
      <c r="I521" s="6">
        <f>Table1[[#This Row],[Sales]]*Table1[[#This Row],[Quantity]]</f>
        <v>153260</v>
      </c>
    </row>
    <row r="522" spans="1:9" x14ac:dyDescent="0.35">
      <c r="A522" t="s">
        <v>523</v>
      </c>
      <c r="B522" s="1">
        <v>45119</v>
      </c>
      <c r="C522" t="s">
        <v>18</v>
      </c>
      <c r="D522" t="s">
        <v>13</v>
      </c>
      <c r="E522" s="6">
        <v>36934</v>
      </c>
      <c r="F522">
        <v>5</v>
      </c>
      <c r="G522" t="str">
        <f>PROPER(TRIM(Table1[[#This Row],[Product]]))</f>
        <v>Laptop</v>
      </c>
      <c r="H522" t="str">
        <f>PROPER(TRIM(Table1[[#This Row],[Region]]))</f>
        <v>East</v>
      </c>
      <c r="I522" s="6">
        <f>Table1[[#This Row],[Sales]]*Table1[[#This Row],[Quantity]]</f>
        <v>184670</v>
      </c>
    </row>
    <row r="523" spans="1:9" x14ac:dyDescent="0.35">
      <c r="A523" t="s">
        <v>524</v>
      </c>
      <c r="B523" s="1">
        <v>45036</v>
      </c>
      <c r="C523" t="s">
        <v>18</v>
      </c>
      <c r="D523" t="s">
        <v>25</v>
      </c>
      <c r="E523" s="6">
        <v>27996</v>
      </c>
      <c r="F523">
        <v>7</v>
      </c>
      <c r="G523" t="str">
        <f>PROPER(TRIM(Table1[[#This Row],[Product]]))</f>
        <v>Tablet</v>
      </c>
      <c r="H523" t="str">
        <f>PROPER(TRIM(Table1[[#This Row],[Region]]))</f>
        <v>East</v>
      </c>
      <c r="I523" s="6">
        <f>Table1[[#This Row],[Sales]]*Table1[[#This Row],[Quantity]]</f>
        <v>195972</v>
      </c>
    </row>
    <row r="524" spans="1:9" x14ac:dyDescent="0.35">
      <c r="A524" t="s">
        <v>525</v>
      </c>
      <c r="B524" s="1">
        <v>45200</v>
      </c>
      <c r="C524" t="s">
        <v>18</v>
      </c>
      <c r="D524" t="s">
        <v>31</v>
      </c>
      <c r="E524" s="6">
        <v>46208</v>
      </c>
      <c r="F524">
        <v>1</v>
      </c>
      <c r="G524" t="str">
        <f>PROPER(TRIM(Table1[[#This Row],[Product]]))</f>
        <v>Monitor</v>
      </c>
      <c r="H524" t="str">
        <f>PROPER(TRIM(Table1[[#This Row],[Region]]))</f>
        <v>East</v>
      </c>
      <c r="I524" s="6">
        <f>Table1[[#This Row],[Sales]]*Table1[[#This Row],[Quantity]]</f>
        <v>46208</v>
      </c>
    </row>
    <row r="525" spans="1:9" x14ac:dyDescent="0.35">
      <c r="A525" t="s">
        <v>526</v>
      </c>
      <c r="B525" s="1">
        <v>44985</v>
      </c>
      <c r="C525" t="s">
        <v>33</v>
      </c>
      <c r="D525" t="s">
        <v>31</v>
      </c>
      <c r="E525" s="6">
        <v>20474</v>
      </c>
      <c r="F525">
        <v>8</v>
      </c>
      <c r="G525" t="str">
        <f>PROPER(TRIM(Table1[[#This Row],[Product]]))</f>
        <v>Monitor</v>
      </c>
      <c r="H525" t="str">
        <f>PROPER(TRIM(Table1[[#This Row],[Region]]))</f>
        <v>South</v>
      </c>
      <c r="I525" s="6">
        <f>Table1[[#This Row],[Sales]]*Table1[[#This Row],[Quantity]]</f>
        <v>163792</v>
      </c>
    </row>
    <row r="526" spans="1:9" x14ac:dyDescent="0.35">
      <c r="A526" t="s">
        <v>527</v>
      </c>
      <c r="B526" s="1">
        <v>45084</v>
      </c>
      <c r="C526" t="s">
        <v>33</v>
      </c>
      <c r="D526" t="s">
        <v>28</v>
      </c>
      <c r="E526" s="6">
        <v>25598</v>
      </c>
      <c r="F526">
        <v>7</v>
      </c>
      <c r="G526" t="str">
        <f>PROPER(TRIM(Table1[[#This Row],[Product]]))</f>
        <v>Phone</v>
      </c>
      <c r="H526" t="str">
        <f>PROPER(TRIM(Table1[[#This Row],[Region]]))</f>
        <v>South</v>
      </c>
      <c r="I526" s="6">
        <f>Table1[[#This Row],[Sales]]*Table1[[#This Row],[Quantity]]</f>
        <v>179186</v>
      </c>
    </row>
    <row r="527" spans="1:9" x14ac:dyDescent="0.35">
      <c r="A527" t="s">
        <v>528</v>
      </c>
      <c r="B527" s="1">
        <v>45264</v>
      </c>
      <c r="C527" t="s">
        <v>8</v>
      </c>
      <c r="D527" t="s">
        <v>25</v>
      </c>
      <c r="E527" s="6">
        <v>47501</v>
      </c>
      <c r="F527">
        <v>10</v>
      </c>
      <c r="G527" t="str">
        <f>PROPER(TRIM(Table1[[#This Row],[Product]]))</f>
        <v>Tablet</v>
      </c>
      <c r="H527" t="str">
        <f>PROPER(TRIM(Table1[[#This Row],[Region]]))</f>
        <v>North</v>
      </c>
      <c r="I527" s="6">
        <f>Table1[[#This Row],[Sales]]*Table1[[#This Row],[Quantity]]</f>
        <v>475010</v>
      </c>
    </row>
    <row r="528" spans="1:9" x14ac:dyDescent="0.35">
      <c r="A528" t="s">
        <v>529</v>
      </c>
      <c r="B528" s="1">
        <v>45155</v>
      </c>
      <c r="C528" t="s">
        <v>33</v>
      </c>
      <c r="D528" t="s">
        <v>25</v>
      </c>
      <c r="E528" s="6">
        <v>24486</v>
      </c>
      <c r="F528">
        <v>5</v>
      </c>
      <c r="G528" t="str">
        <f>PROPER(TRIM(Table1[[#This Row],[Product]]))</f>
        <v>Tablet</v>
      </c>
      <c r="H528" t="str">
        <f>PROPER(TRIM(Table1[[#This Row],[Region]]))</f>
        <v>South</v>
      </c>
      <c r="I528" s="6">
        <f>Table1[[#This Row],[Sales]]*Table1[[#This Row],[Quantity]]</f>
        <v>122430</v>
      </c>
    </row>
    <row r="529" spans="1:9" x14ac:dyDescent="0.35">
      <c r="A529" t="s">
        <v>530</v>
      </c>
      <c r="B529" s="1">
        <v>44927</v>
      </c>
      <c r="C529" t="s">
        <v>30</v>
      </c>
      <c r="D529" t="s">
        <v>25</v>
      </c>
      <c r="E529" s="6">
        <v>375</v>
      </c>
      <c r="F529">
        <v>1</v>
      </c>
      <c r="G529" t="str">
        <f>PROPER(TRIM(Table1[[#This Row],[Product]]))</f>
        <v>Tablet</v>
      </c>
      <c r="H529" t="str">
        <f>PROPER(TRIM(Table1[[#This Row],[Region]]))</f>
        <v>West</v>
      </c>
      <c r="I529" s="6">
        <f>Table1[[#This Row],[Sales]]*Table1[[#This Row],[Quantity]]</f>
        <v>375</v>
      </c>
    </row>
    <row r="530" spans="1:9" x14ac:dyDescent="0.35">
      <c r="A530" t="s">
        <v>531</v>
      </c>
      <c r="B530" s="1">
        <v>45089</v>
      </c>
      <c r="C530" t="s">
        <v>18</v>
      </c>
      <c r="D530" t="s">
        <v>40</v>
      </c>
      <c r="E530" s="6">
        <v>45451</v>
      </c>
      <c r="F530">
        <v>8</v>
      </c>
      <c r="G530" t="str">
        <f>PROPER(TRIM(Table1[[#This Row],[Product]]))</f>
        <v>Headphones</v>
      </c>
      <c r="H530" t="str">
        <f>PROPER(TRIM(Table1[[#This Row],[Region]]))</f>
        <v>East</v>
      </c>
      <c r="I530" s="6">
        <f>Table1[[#This Row],[Sales]]*Table1[[#This Row],[Quantity]]</f>
        <v>363608</v>
      </c>
    </row>
    <row r="531" spans="1:9" x14ac:dyDescent="0.35">
      <c r="A531" t="s">
        <v>532</v>
      </c>
      <c r="B531" s="1">
        <v>45067</v>
      </c>
      <c r="C531" t="s">
        <v>30</v>
      </c>
      <c r="D531" t="s">
        <v>28</v>
      </c>
      <c r="E531" s="6">
        <v>21252</v>
      </c>
      <c r="F531">
        <v>8</v>
      </c>
      <c r="G531" t="str">
        <f>PROPER(TRIM(Table1[[#This Row],[Product]]))</f>
        <v>Phone</v>
      </c>
      <c r="H531" t="str">
        <f>PROPER(TRIM(Table1[[#This Row],[Region]]))</f>
        <v>West</v>
      </c>
      <c r="I531" s="6">
        <f>Table1[[#This Row],[Sales]]*Table1[[#This Row],[Quantity]]</f>
        <v>170016</v>
      </c>
    </row>
    <row r="532" spans="1:9" x14ac:dyDescent="0.35">
      <c r="A532" t="s">
        <v>533</v>
      </c>
      <c r="B532" s="1">
        <v>44929</v>
      </c>
      <c r="C532" t="s">
        <v>33</v>
      </c>
      <c r="D532" t="s">
        <v>28</v>
      </c>
      <c r="E532" s="6">
        <v>21690</v>
      </c>
      <c r="F532">
        <v>5</v>
      </c>
      <c r="G532" t="str">
        <f>PROPER(TRIM(Table1[[#This Row],[Product]]))</f>
        <v>Phone</v>
      </c>
      <c r="H532" t="str">
        <f>PROPER(TRIM(Table1[[#This Row],[Region]]))</f>
        <v>South</v>
      </c>
      <c r="I532" s="6">
        <f>Table1[[#This Row],[Sales]]*Table1[[#This Row],[Quantity]]</f>
        <v>108450</v>
      </c>
    </row>
    <row r="533" spans="1:9" x14ac:dyDescent="0.35">
      <c r="A533" t="s">
        <v>534</v>
      </c>
      <c r="B533" s="1">
        <v>44996</v>
      </c>
      <c r="C533" t="s">
        <v>33</v>
      </c>
      <c r="D533" t="s">
        <v>13</v>
      </c>
      <c r="E533" s="6">
        <v>26533</v>
      </c>
      <c r="F533">
        <v>8</v>
      </c>
      <c r="G533" t="str">
        <f>PROPER(TRIM(Table1[[#This Row],[Product]]))</f>
        <v>Laptop</v>
      </c>
      <c r="H533" t="str">
        <f>PROPER(TRIM(Table1[[#This Row],[Region]]))</f>
        <v>South</v>
      </c>
      <c r="I533" s="6">
        <f>Table1[[#This Row],[Sales]]*Table1[[#This Row],[Quantity]]</f>
        <v>212264</v>
      </c>
    </row>
    <row r="534" spans="1:9" x14ac:dyDescent="0.35">
      <c r="A534" t="s">
        <v>535</v>
      </c>
      <c r="B534" s="1">
        <v>44956</v>
      </c>
      <c r="C534" t="s">
        <v>8</v>
      </c>
      <c r="D534" t="s">
        <v>40</v>
      </c>
      <c r="E534" s="6">
        <v>44055</v>
      </c>
      <c r="F534">
        <v>2</v>
      </c>
      <c r="G534" t="str">
        <f>PROPER(TRIM(Table1[[#This Row],[Product]]))</f>
        <v>Headphones</v>
      </c>
      <c r="H534" t="str">
        <f>PROPER(TRIM(Table1[[#This Row],[Region]]))</f>
        <v>North</v>
      </c>
      <c r="I534" s="6">
        <f>Table1[[#This Row],[Sales]]*Table1[[#This Row],[Quantity]]</f>
        <v>88110</v>
      </c>
    </row>
    <row r="535" spans="1:9" x14ac:dyDescent="0.35">
      <c r="A535" t="s">
        <v>536</v>
      </c>
      <c r="B535" s="1">
        <v>45188</v>
      </c>
      <c r="C535" t="s">
        <v>30</v>
      </c>
      <c r="D535" t="s">
        <v>13</v>
      </c>
      <c r="E535" s="6">
        <v>8814</v>
      </c>
      <c r="F535">
        <v>10</v>
      </c>
      <c r="G535" t="str">
        <f>PROPER(TRIM(Table1[[#This Row],[Product]]))</f>
        <v>Laptop</v>
      </c>
      <c r="H535" t="str">
        <f>PROPER(TRIM(Table1[[#This Row],[Region]]))</f>
        <v>West</v>
      </c>
      <c r="I535" s="6">
        <f>Table1[[#This Row],[Sales]]*Table1[[#This Row],[Quantity]]</f>
        <v>88140</v>
      </c>
    </row>
    <row r="536" spans="1:9" x14ac:dyDescent="0.35">
      <c r="A536" t="s">
        <v>537</v>
      </c>
      <c r="B536" s="1">
        <v>45258</v>
      </c>
      <c r="C536" t="s">
        <v>8</v>
      </c>
      <c r="D536" t="s">
        <v>13</v>
      </c>
      <c r="E536" s="6">
        <v>29894</v>
      </c>
      <c r="F536">
        <v>7</v>
      </c>
      <c r="G536" t="str">
        <f>PROPER(TRIM(Table1[[#This Row],[Product]]))</f>
        <v>Laptop</v>
      </c>
      <c r="H536" t="str">
        <f>PROPER(TRIM(Table1[[#This Row],[Region]]))</f>
        <v>North</v>
      </c>
      <c r="I536" s="6">
        <f>Table1[[#This Row],[Sales]]*Table1[[#This Row],[Quantity]]</f>
        <v>209258</v>
      </c>
    </row>
    <row r="537" spans="1:9" x14ac:dyDescent="0.35">
      <c r="A537" t="s">
        <v>538</v>
      </c>
      <c r="B537" s="1">
        <v>45144</v>
      </c>
      <c r="C537" t="s">
        <v>33</v>
      </c>
      <c r="D537" t="s">
        <v>40</v>
      </c>
      <c r="E537" s="6">
        <v>1258</v>
      </c>
      <c r="F537">
        <v>1</v>
      </c>
      <c r="G537" t="str">
        <f>PROPER(TRIM(Table1[[#This Row],[Product]]))</f>
        <v>Headphones</v>
      </c>
      <c r="H537" t="str">
        <f>PROPER(TRIM(Table1[[#This Row],[Region]]))</f>
        <v>South</v>
      </c>
      <c r="I537" s="6">
        <f>Table1[[#This Row],[Sales]]*Table1[[#This Row],[Quantity]]</f>
        <v>1258</v>
      </c>
    </row>
    <row r="538" spans="1:9" x14ac:dyDescent="0.35">
      <c r="A538" t="s">
        <v>539</v>
      </c>
      <c r="B538" s="1">
        <v>45234</v>
      </c>
      <c r="C538" t="s">
        <v>30</v>
      </c>
      <c r="D538" t="s">
        <v>40</v>
      </c>
      <c r="E538" s="6">
        <v>12841</v>
      </c>
      <c r="F538">
        <v>1</v>
      </c>
      <c r="G538" t="str">
        <f>PROPER(TRIM(Table1[[#This Row],[Product]]))</f>
        <v>Headphones</v>
      </c>
      <c r="H538" t="str">
        <f>PROPER(TRIM(Table1[[#This Row],[Region]]))</f>
        <v>West</v>
      </c>
      <c r="I538" s="6">
        <f>Table1[[#This Row],[Sales]]*Table1[[#This Row],[Quantity]]</f>
        <v>12841</v>
      </c>
    </row>
    <row r="539" spans="1:9" x14ac:dyDescent="0.35">
      <c r="A539" t="s">
        <v>540</v>
      </c>
      <c r="B539" s="1">
        <v>45136</v>
      </c>
      <c r="C539" t="s">
        <v>8</v>
      </c>
      <c r="D539" t="s">
        <v>40</v>
      </c>
      <c r="E539" s="6">
        <v>36736</v>
      </c>
      <c r="F539">
        <v>6</v>
      </c>
      <c r="G539" t="str">
        <f>PROPER(TRIM(Table1[[#This Row],[Product]]))</f>
        <v>Headphones</v>
      </c>
      <c r="H539" t="str">
        <f>PROPER(TRIM(Table1[[#This Row],[Region]]))</f>
        <v>North</v>
      </c>
      <c r="I539" s="6">
        <f>Table1[[#This Row],[Sales]]*Table1[[#This Row],[Quantity]]</f>
        <v>220416</v>
      </c>
    </row>
    <row r="540" spans="1:9" x14ac:dyDescent="0.35">
      <c r="A540" t="s">
        <v>541</v>
      </c>
      <c r="B540" s="1">
        <v>45128</v>
      </c>
      <c r="C540" t="s">
        <v>8</v>
      </c>
      <c r="D540" t="s">
        <v>40</v>
      </c>
      <c r="E540" s="6">
        <v>36391</v>
      </c>
      <c r="F540">
        <v>8</v>
      </c>
      <c r="G540" t="str">
        <f>PROPER(TRIM(Table1[[#This Row],[Product]]))</f>
        <v>Headphones</v>
      </c>
      <c r="H540" t="str">
        <f>PROPER(TRIM(Table1[[#This Row],[Region]]))</f>
        <v>North</v>
      </c>
      <c r="I540" s="6">
        <f>Table1[[#This Row],[Sales]]*Table1[[#This Row],[Quantity]]</f>
        <v>291128</v>
      </c>
    </row>
    <row r="541" spans="1:9" x14ac:dyDescent="0.35">
      <c r="A541" t="s">
        <v>542</v>
      </c>
      <c r="B541" s="1">
        <v>45232</v>
      </c>
      <c r="C541" t="s">
        <v>30</v>
      </c>
      <c r="D541" t="s">
        <v>13</v>
      </c>
      <c r="E541" s="6">
        <v>33455</v>
      </c>
      <c r="F541">
        <v>1</v>
      </c>
      <c r="G541" t="str">
        <f>PROPER(TRIM(Table1[[#This Row],[Product]]))</f>
        <v>Laptop</v>
      </c>
      <c r="H541" t="str">
        <f>PROPER(TRIM(Table1[[#This Row],[Region]]))</f>
        <v>West</v>
      </c>
      <c r="I541" s="6">
        <f>Table1[[#This Row],[Sales]]*Table1[[#This Row],[Quantity]]</f>
        <v>33455</v>
      </c>
    </row>
    <row r="542" spans="1:9" x14ac:dyDescent="0.35">
      <c r="A542" t="s">
        <v>543</v>
      </c>
      <c r="B542" s="1">
        <v>45051</v>
      </c>
      <c r="C542" t="s">
        <v>30</v>
      </c>
      <c r="D542" t="s">
        <v>13</v>
      </c>
      <c r="E542" s="6">
        <v>15839</v>
      </c>
      <c r="F542">
        <v>6</v>
      </c>
      <c r="G542" t="str">
        <f>PROPER(TRIM(Table1[[#This Row],[Product]]))</f>
        <v>Laptop</v>
      </c>
      <c r="H542" t="str">
        <f>PROPER(TRIM(Table1[[#This Row],[Region]]))</f>
        <v>West</v>
      </c>
      <c r="I542" s="6">
        <f>Table1[[#This Row],[Sales]]*Table1[[#This Row],[Quantity]]</f>
        <v>95034</v>
      </c>
    </row>
    <row r="543" spans="1:9" x14ac:dyDescent="0.35">
      <c r="A543" t="s">
        <v>544</v>
      </c>
      <c r="B543" s="1">
        <v>45162</v>
      </c>
      <c r="C543" t="s">
        <v>33</v>
      </c>
      <c r="D543" t="s">
        <v>13</v>
      </c>
      <c r="E543" s="6">
        <v>10959</v>
      </c>
      <c r="F543">
        <v>9</v>
      </c>
      <c r="G543" t="str">
        <f>PROPER(TRIM(Table1[[#This Row],[Product]]))</f>
        <v>Laptop</v>
      </c>
      <c r="H543" t="str">
        <f>PROPER(TRIM(Table1[[#This Row],[Region]]))</f>
        <v>South</v>
      </c>
      <c r="I543" s="6">
        <f>Table1[[#This Row],[Sales]]*Table1[[#This Row],[Quantity]]</f>
        <v>98631</v>
      </c>
    </row>
    <row r="544" spans="1:9" x14ac:dyDescent="0.35">
      <c r="A544" t="s">
        <v>545</v>
      </c>
      <c r="B544" s="1">
        <v>45241</v>
      </c>
      <c r="C544" t="s">
        <v>30</v>
      </c>
      <c r="D544" t="s">
        <v>13</v>
      </c>
      <c r="E544" s="6">
        <v>6420</v>
      </c>
      <c r="F544">
        <v>1</v>
      </c>
      <c r="G544" t="str">
        <f>PROPER(TRIM(Table1[[#This Row],[Product]]))</f>
        <v>Laptop</v>
      </c>
      <c r="H544" t="str">
        <f>PROPER(TRIM(Table1[[#This Row],[Region]]))</f>
        <v>West</v>
      </c>
      <c r="I544" s="6">
        <f>Table1[[#This Row],[Sales]]*Table1[[#This Row],[Quantity]]</f>
        <v>6420</v>
      </c>
    </row>
    <row r="545" spans="1:9" x14ac:dyDescent="0.35">
      <c r="A545" t="s">
        <v>546</v>
      </c>
      <c r="B545" s="1">
        <v>45031</v>
      </c>
      <c r="C545" t="s">
        <v>8</v>
      </c>
      <c r="D545" t="s">
        <v>25</v>
      </c>
      <c r="E545" s="6">
        <v>20881</v>
      </c>
      <c r="F545">
        <v>7</v>
      </c>
      <c r="G545" t="str">
        <f>PROPER(TRIM(Table1[[#This Row],[Product]]))</f>
        <v>Tablet</v>
      </c>
      <c r="H545" t="str">
        <f>PROPER(TRIM(Table1[[#This Row],[Region]]))</f>
        <v>North</v>
      </c>
      <c r="I545" s="6">
        <f>Table1[[#This Row],[Sales]]*Table1[[#This Row],[Quantity]]</f>
        <v>146167</v>
      </c>
    </row>
    <row r="546" spans="1:9" x14ac:dyDescent="0.35">
      <c r="A546" t="s">
        <v>547</v>
      </c>
      <c r="B546" s="1">
        <v>45185</v>
      </c>
      <c r="C546" t="s">
        <v>33</v>
      </c>
      <c r="D546" t="s">
        <v>28</v>
      </c>
      <c r="E546" s="6">
        <v>2348</v>
      </c>
      <c r="F546">
        <v>1</v>
      </c>
      <c r="G546" t="str">
        <f>PROPER(TRIM(Table1[[#This Row],[Product]]))</f>
        <v>Phone</v>
      </c>
      <c r="H546" t="str">
        <f>PROPER(TRIM(Table1[[#This Row],[Region]]))</f>
        <v>South</v>
      </c>
      <c r="I546" s="6">
        <f>Table1[[#This Row],[Sales]]*Table1[[#This Row],[Quantity]]</f>
        <v>2348</v>
      </c>
    </row>
    <row r="547" spans="1:9" x14ac:dyDescent="0.35">
      <c r="A547" t="s">
        <v>548</v>
      </c>
      <c r="B547" s="1">
        <v>44967</v>
      </c>
      <c r="C547" t="s">
        <v>33</v>
      </c>
      <c r="D547" t="s">
        <v>13</v>
      </c>
      <c r="E547" s="6">
        <v>36956</v>
      </c>
      <c r="F547">
        <v>5</v>
      </c>
      <c r="G547" t="str">
        <f>PROPER(TRIM(Table1[[#This Row],[Product]]))</f>
        <v>Laptop</v>
      </c>
      <c r="H547" t="str">
        <f>PROPER(TRIM(Table1[[#This Row],[Region]]))</f>
        <v>South</v>
      </c>
      <c r="I547" s="6">
        <f>Table1[[#This Row],[Sales]]*Table1[[#This Row],[Quantity]]</f>
        <v>184780</v>
      </c>
    </row>
    <row r="548" spans="1:9" x14ac:dyDescent="0.35">
      <c r="A548" t="s">
        <v>549</v>
      </c>
      <c r="B548" s="1">
        <v>45185</v>
      </c>
      <c r="C548" t="s">
        <v>18</v>
      </c>
      <c r="D548" t="s">
        <v>25</v>
      </c>
      <c r="E548" s="6">
        <v>21692</v>
      </c>
      <c r="F548">
        <v>2</v>
      </c>
      <c r="G548" t="str">
        <f>PROPER(TRIM(Table1[[#This Row],[Product]]))</f>
        <v>Tablet</v>
      </c>
      <c r="H548" t="str">
        <f>PROPER(TRIM(Table1[[#This Row],[Region]]))</f>
        <v>East</v>
      </c>
      <c r="I548" s="6">
        <f>Table1[[#This Row],[Sales]]*Table1[[#This Row],[Quantity]]</f>
        <v>43384</v>
      </c>
    </row>
    <row r="549" spans="1:9" x14ac:dyDescent="0.35">
      <c r="A549" t="s">
        <v>549</v>
      </c>
      <c r="B549" s="1">
        <v>45185</v>
      </c>
      <c r="C549" t="s">
        <v>18</v>
      </c>
      <c r="D549" t="s">
        <v>25</v>
      </c>
      <c r="E549" s="6">
        <v>21692</v>
      </c>
      <c r="F549">
        <v>2</v>
      </c>
      <c r="G549" t="str">
        <f>PROPER(TRIM(Table1[[#This Row],[Product]]))</f>
        <v>Tablet</v>
      </c>
      <c r="H549" t="str">
        <f>PROPER(TRIM(Table1[[#This Row],[Region]]))</f>
        <v>East</v>
      </c>
      <c r="I549" s="6">
        <f>Table1[[#This Row],[Sales]]*Table1[[#This Row],[Quantity]]</f>
        <v>43384</v>
      </c>
    </row>
    <row r="550" spans="1:9" x14ac:dyDescent="0.35">
      <c r="A550" t="s">
        <v>550</v>
      </c>
      <c r="B550" s="1">
        <v>45139</v>
      </c>
      <c r="C550" t="s">
        <v>30</v>
      </c>
      <c r="D550" t="s">
        <v>31</v>
      </c>
      <c r="E550" s="6">
        <v>31175</v>
      </c>
      <c r="F550">
        <v>5</v>
      </c>
      <c r="G550" t="str">
        <f>PROPER(TRIM(Table1[[#This Row],[Product]]))</f>
        <v>Monitor</v>
      </c>
      <c r="H550" t="str">
        <f>PROPER(TRIM(Table1[[#This Row],[Region]]))</f>
        <v>West</v>
      </c>
      <c r="I550" s="6">
        <f>Table1[[#This Row],[Sales]]*Table1[[#This Row],[Quantity]]</f>
        <v>155875</v>
      </c>
    </row>
    <row r="551" spans="1:9" x14ac:dyDescent="0.35">
      <c r="A551" t="s">
        <v>551</v>
      </c>
      <c r="B551" s="1">
        <v>45005</v>
      </c>
      <c r="C551" t="s">
        <v>30</v>
      </c>
      <c r="D551" t="s">
        <v>31</v>
      </c>
      <c r="E551" s="6">
        <v>19322</v>
      </c>
      <c r="F551">
        <v>5</v>
      </c>
      <c r="G551" t="str">
        <f>PROPER(TRIM(Table1[[#This Row],[Product]]))</f>
        <v>Monitor</v>
      </c>
      <c r="H551" t="str">
        <f>PROPER(TRIM(Table1[[#This Row],[Region]]))</f>
        <v>West</v>
      </c>
      <c r="I551" s="6">
        <f>Table1[[#This Row],[Sales]]*Table1[[#This Row],[Quantity]]</f>
        <v>96610</v>
      </c>
    </row>
    <row r="552" spans="1:9" x14ac:dyDescent="0.35">
      <c r="A552" t="s">
        <v>552</v>
      </c>
      <c r="B552" s="1">
        <v>45216</v>
      </c>
      <c r="C552" t="s">
        <v>30</v>
      </c>
      <c r="D552" t="s">
        <v>31</v>
      </c>
      <c r="E552" s="6">
        <v>42688</v>
      </c>
      <c r="F552">
        <v>10</v>
      </c>
      <c r="G552" t="str">
        <f>PROPER(TRIM(Table1[[#This Row],[Product]]))</f>
        <v>Monitor</v>
      </c>
      <c r="H552" t="str">
        <f>PROPER(TRIM(Table1[[#This Row],[Region]]))</f>
        <v>West</v>
      </c>
      <c r="I552" s="6">
        <f>Table1[[#This Row],[Sales]]*Table1[[#This Row],[Quantity]]</f>
        <v>426880</v>
      </c>
    </row>
    <row r="553" spans="1:9" x14ac:dyDescent="0.35">
      <c r="A553" t="s">
        <v>553</v>
      </c>
      <c r="B553" s="1">
        <v>45187</v>
      </c>
      <c r="C553" t="s">
        <v>30</v>
      </c>
      <c r="D553" t="s">
        <v>31</v>
      </c>
      <c r="E553" s="6">
        <v>37890</v>
      </c>
      <c r="F553">
        <v>2</v>
      </c>
      <c r="G553" t="str">
        <f>PROPER(TRIM(Table1[[#This Row],[Product]]))</f>
        <v>Monitor</v>
      </c>
      <c r="H553" t="str">
        <f>PROPER(TRIM(Table1[[#This Row],[Region]]))</f>
        <v>West</v>
      </c>
      <c r="I553" s="6">
        <f>Table1[[#This Row],[Sales]]*Table1[[#This Row],[Quantity]]</f>
        <v>75780</v>
      </c>
    </row>
    <row r="554" spans="1:9" x14ac:dyDescent="0.35">
      <c r="A554" t="s">
        <v>554</v>
      </c>
      <c r="B554" s="1">
        <v>45267</v>
      </c>
      <c r="C554" t="s">
        <v>18</v>
      </c>
      <c r="D554" t="s">
        <v>28</v>
      </c>
      <c r="E554" s="6">
        <v>1741</v>
      </c>
      <c r="F554">
        <v>4</v>
      </c>
      <c r="G554" t="str">
        <f>PROPER(TRIM(Table1[[#This Row],[Product]]))</f>
        <v>Phone</v>
      </c>
      <c r="H554" t="str">
        <f>PROPER(TRIM(Table1[[#This Row],[Region]]))</f>
        <v>East</v>
      </c>
      <c r="I554" s="6">
        <f>Table1[[#This Row],[Sales]]*Table1[[#This Row],[Quantity]]</f>
        <v>6964</v>
      </c>
    </row>
    <row r="555" spans="1:9" x14ac:dyDescent="0.35">
      <c r="A555" t="s">
        <v>555</v>
      </c>
      <c r="B555" s="1">
        <v>45179</v>
      </c>
      <c r="C555" t="s">
        <v>30</v>
      </c>
      <c r="D555" t="s">
        <v>25</v>
      </c>
      <c r="E555" s="6">
        <v>46247</v>
      </c>
      <c r="F555">
        <v>9</v>
      </c>
      <c r="G555" t="str">
        <f>PROPER(TRIM(Table1[[#This Row],[Product]]))</f>
        <v>Tablet</v>
      </c>
      <c r="H555" t="str">
        <f>PROPER(TRIM(Table1[[#This Row],[Region]]))</f>
        <v>West</v>
      </c>
      <c r="I555" s="6">
        <f>Table1[[#This Row],[Sales]]*Table1[[#This Row],[Quantity]]</f>
        <v>416223</v>
      </c>
    </row>
    <row r="556" spans="1:9" x14ac:dyDescent="0.35">
      <c r="A556" t="s">
        <v>556</v>
      </c>
      <c r="B556" s="1">
        <v>45215</v>
      </c>
      <c r="C556" t="s">
        <v>8</v>
      </c>
      <c r="D556" t="s">
        <v>31</v>
      </c>
      <c r="E556" s="6">
        <v>22472</v>
      </c>
      <c r="F556">
        <v>7</v>
      </c>
      <c r="G556" t="str">
        <f>PROPER(TRIM(Table1[[#This Row],[Product]]))</f>
        <v>Monitor</v>
      </c>
      <c r="H556" t="str">
        <f>PROPER(TRIM(Table1[[#This Row],[Region]]))</f>
        <v>North</v>
      </c>
      <c r="I556" s="6">
        <f>Table1[[#This Row],[Sales]]*Table1[[#This Row],[Quantity]]</f>
        <v>157304</v>
      </c>
    </row>
    <row r="557" spans="1:9" x14ac:dyDescent="0.35">
      <c r="A557" t="s">
        <v>557</v>
      </c>
      <c r="B557" s="1">
        <v>44982</v>
      </c>
      <c r="C557" t="s">
        <v>8</v>
      </c>
      <c r="D557" t="s">
        <v>28</v>
      </c>
      <c r="E557" s="6">
        <v>31328</v>
      </c>
      <c r="F557">
        <v>8</v>
      </c>
      <c r="G557" t="str">
        <f>PROPER(TRIM(Table1[[#This Row],[Product]]))</f>
        <v>Phone</v>
      </c>
      <c r="H557" t="str">
        <f>PROPER(TRIM(Table1[[#This Row],[Region]]))</f>
        <v>North</v>
      </c>
      <c r="I557" s="6">
        <f>Table1[[#This Row],[Sales]]*Table1[[#This Row],[Quantity]]</f>
        <v>250624</v>
      </c>
    </row>
    <row r="558" spans="1:9" x14ac:dyDescent="0.35">
      <c r="A558" t="s">
        <v>558</v>
      </c>
      <c r="B558" s="1">
        <v>45230</v>
      </c>
      <c r="C558" t="s">
        <v>18</v>
      </c>
      <c r="D558" t="s">
        <v>40</v>
      </c>
      <c r="E558" s="6">
        <v>8617</v>
      </c>
      <c r="F558">
        <v>3</v>
      </c>
      <c r="G558" t="str">
        <f>PROPER(TRIM(Table1[[#This Row],[Product]]))</f>
        <v>Headphones</v>
      </c>
      <c r="H558" t="str">
        <f>PROPER(TRIM(Table1[[#This Row],[Region]]))</f>
        <v>East</v>
      </c>
      <c r="I558" s="6">
        <f>Table1[[#This Row],[Sales]]*Table1[[#This Row],[Quantity]]</f>
        <v>25851</v>
      </c>
    </row>
    <row r="559" spans="1:9" x14ac:dyDescent="0.35">
      <c r="A559" t="s">
        <v>559</v>
      </c>
      <c r="B559" s="1">
        <v>45090</v>
      </c>
      <c r="C559" t="s">
        <v>30</v>
      </c>
      <c r="D559" t="s">
        <v>28</v>
      </c>
      <c r="E559" s="6">
        <v>15267</v>
      </c>
      <c r="F559">
        <v>5</v>
      </c>
      <c r="G559" t="str">
        <f>PROPER(TRIM(Table1[[#This Row],[Product]]))</f>
        <v>Phone</v>
      </c>
      <c r="H559" t="str">
        <f>PROPER(TRIM(Table1[[#This Row],[Region]]))</f>
        <v>West</v>
      </c>
      <c r="I559" s="6">
        <f>Table1[[#This Row],[Sales]]*Table1[[#This Row],[Quantity]]</f>
        <v>76335</v>
      </c>
    </row>
    <row r="560" spans="1:9" x14ac:dyDescent="0.35">
      <c r="A560" t="s">
        <v>560</v>
      </c>
      <c r="B560" s="1">
        <v>45240</v>
      </c>
      <c r="C560" t="s">
        <v>33</v>
      </c>
      <c r="D560" t="s">
        <v>28</v>
      </c>
      <c r="E560" s="6">
        <v>45371</v>
      </c>
      <c r="F560">
        <v>4</v>
      </c>
      <c r="G560" t="str">
        <f>PROPER(TRIM(Table1[[#This Row],[Product]]))</f>
        <v>Phone</v>
      </c>
      <c r="H560" t="str">
        <f>PROPER(TRIM(Table1[[#This Row],[Region]]))</f>
        <v>South</v>
      </c>
      <c r="I560" s="6">
        <f>Table1[[#This Row],[Sales]]*Table1[[#This Row],[Quantity]]</f>
        <v>181484</v>
      </c>
    </row>
    <row r="561" spans="1:9" x14ac:dyDescent="0.35">
      <c r="A561" t="s">
        <v>561</v>
      </c>
      <c r="B561" s="1">
        <v>45101</v>
      </c>
      <c r="C561" t="s">
        <v>33</v>
      </c>
      <c r="D561" t="s">
        <v>31</v>
      </c>
      <c r="E561" s="6">
        <v>46359</v>
      </c>
      <c r="F561">
        <v>9</v>
      </c>
      <c r="G561" t="str">
        <f>PROPER(TRIM(Table1[[#This Row],[Product]]))</f>
        <v>Monitor</v>
      </c>
      <c r="H561" t="str">
        <f>PROPER(TRIM(Table1[[#This Row],[Region]]))</f>
        <v>South</v>
      </c>
      <c r="I561" s="6">
        <f>Table1[[#This Row],[Sales]]*Table1[[#This Row],[Quantity]]</f>
        <v>417231</v>
      </c>
    </row>
    <row r="562" spans="1:9" x14ac:dyDescent="0.35">
      <c r="A562" t="s">
        <v>562</v>
      </c>
      <c r="B562" s="1">
        <v>45078</v>
      </c>
      <c r="C562" t="s">
        <v>33</v>
      </c>
      <c r="D562" t="s">
        <v>28</v>
      </c>
      <c r="E562" s="6">
        <v>21384</v>
      </c>
      <c r="F562">
        <v>10</v>
      </c>
      <c r="G562" t="str">
        <f>PROPER(TRIM(Table1[[#This Row],[Product]]))</f>
        <v>Phone</v>
      </c>
      <c r="H562" t="str">
        <f>PROPER(TRIM(Table1[[#This Row],[Region]]))</f>
        <v>South</v>
      </c>
      <c r="I562" s="6">
        <f>Table1[[#This Row],[Sales]]*Table1[[#This Row],[Quantity]]</f>
        <v>213840</v>
      </c>
    </row>
    <row r="563" spans="1:9" x14ac:dyDescent="0.35">
      <c r="A563" t="s">
        <v>563</v>
      </c>
      <c r="B563" s="1">
        <v>45140</v>
      </c>
      <c r="C563" t="s">
        <v>33</v>
      </c>
      <c r="D563" t="s">
        <v>13</v>
      </c>
      <c r="E563" s="6">
        <v>37487</v>
      </c>
      <c r="F563">
        <v>7</v>
      </c>
      <c r="G563" t="str">
        <f>PROPER(TRIM(Table1[[#This Row],[Product]]))</f>
        <v>Laptop</v>
      </c>
      <c r="H563" t="str">
        <f>PROPER(TRIM(Table1[[#This Row],[Region]]))</f>
        <v>South</v>
      </c>
      <c r="I563" s="6">
        <f>Table1[[#This Row],[Sales]]*Table1[[#This Row],[Quantity]]</f>
        <v>262409</v>
      </c>
    </row>
    <row r="564" spans="1:9" x14ac:dyDescent="0.35">
      <c r="A564" t="s">
        <v>564</v>
      </c>
      <c r="B564" s="1">
        <v>45084</v>
      </c>
      <c r="C564" t="s">
        <v>33</v>
      </c>
      <c r="D564" t="s">
        <v>25</v>
      </c>
      <c r="E564" s="6">
        <v>33856</v>
      </c>
      <c r="F564">
        <v>8</v>
      </c>
      <c r="G564" t="str">
        <f>PROPER(TRIM(Table1[[#This Row],[Product]]))</f>
        <v>Tablet</v>
      </c>
      <c r="H564" t="str">
        <f>PROPER(TRIM(Table1[[#This Row],[Region]]))</f>
        <v>South</v>
      </c>
      <c r="I564" s="6">
        <f>Table1[[#This Row],[Sales]]*Table1[[#This Row],[Quantity]]</f>
        <v>270848</v>
      </c>
    </row>
    <row r="565" spans="1:9" x14ac:dyDescent="0.35">
      <c r="A565" t="s">
        <v>565</v>
      </c>
      <c r="B565" s="1">
        <v>44952</v>
      </c>
      <c r="C565" t="s">
        <v>18</v>
      </c>
      <c r="D565" t="s">
        <v>25</v>
      </c>
      <c r="E565" s="6">
        <v>24078</v>
      </c>
      <c r="F565">
        <v>2</v>
      </c>
      <c r="G565" t="str">
        <f>PROPER(TRIM(Table1[[#This Row],[Product]]))</f>
        <v>Tablet</v>
      </c>
      <c r="H565" t="str">
        <f>PROPER(TRIM(Table1[[#This Row],[Region]]))</f>
        <v>East</v>
      </c>
      <c r="I565" s="6">
        <f>Table1[[#This Row],[Sales]]*Table1[[#This Row],[Quantity]]</f>
        <v>48156</v>
      </c>
    </row>
    <row r="566" spans="1:9" x14ac:dyDescent="0.35">
      <c r="A566" t="s">
        <v>566</v>
      </c>
      <c r="B566" s="1">
        <v>44942</v>
      </c>
      <c r="C566" t="s">
        <v>8</v>
      </c>
      <c r="D566" t="s">
        <v>25</v>
      </c>
      <c r="E566" s="6">
        <v>3078</v>
      </c>
      <c r="F566">
        <v>7</v>
      </c>
      <c r="G566" t="str">
        <f>PROPER(TRIM(Table1[[#This Row],[Product]]))</f>
        <v>Tablet</v>
      </c>
      <c r="H566" t="str">
        <f>PROPER(TRIM(Table1[[#This Row],[Region]]))</f>
        <v>North</v>
      </c>
      <c r="I566" s="6">
        <f>Table1[[#This Row],[Sales]]*Table1[[#This Row],[Quantity]]</f>
        <v>21546</v>
      </c>
    </row>
    <row r="567" spans="1:9" x14ac:dyDescent="0.35">
      <c r="A567" t="s">
        <v>567</v>
      </c>
      <c r="B567" s="1">
        <v>45245</v>
      </c>
      <c r="C567" t="s">
        <v>18</v>
      </c>
      <c r="D567" t="s">
        <v>40</v>
      </c>
      <c r="E567" s="6">
        <v>2851</v>
      </c>
      <c r="F567">
        <v>8</v>
      </c>
      <c r="G567" t="str">
        <f>PROPER(TRIM(Table1[[#This Row],[Product]]))</f>
        <v>Headphones</v>
      </c>
      <c r="H567" t="str">
        <f>PROPER(TRIM(Table1[[#This Row],[Region]]))</f>
        <v>East</v>
      </c>
      <c r="I567" s="6">
        <f>Table1[[#This Row],[Sales]]*Table1[[#This Row],[Quantity]]</f>
        <v>22808</v>
      </c>
    </row>
    <row r="568" spans="1:9" x14ac:dyDescent="0.35">
      <c r="A568" t="s">
        <v>568</v>
      </c>
      <c r="B568" s="1">
        <v>45171</v>
      </c>
      <c r="C568" t="s">
        <v>18</v>
      </c>
      <c r="D568" t="s">
        <v>31</v>
      </c>
      <c r="E568" s="6">
        <v>30281</v>
      </c>
      <c r="F568">
        <v>3</v>
      </c>
      <c r="G568" t="str">
        <f>PROPER(TRIM(Table1[[#This Row],[Product]]))</f>
        <v>Monitor</v>
      </c>
      <c r="H568" t="str">
        <f>PROPER(TRIM(Table1[[#This Row],[Region]]))</f>
        <v>East</v>
      </c>
      <c r="I568" s="6">
        <f>Table1[[#This Row],[Sales]]*Table1[[#This Row],[Quantity]]</f>
        <v>90843</v>
      </c>
    </row>
    <row r="569" spans="1:9" x14ac:dyDescent="0.35">
      <c r="A569" t="s">
        <v>569</v>
      </c>
      <c r="B569" s="1">
        <v>44940</v>
      </c>
      <c r="C569" t="s">
        <v>8</v>
      </c>
      <c r="D569" t="s">
        <v>13</v>
      </c>
      <c r="E569" s="6">
        <v>17868</v>
      </c>
      <c r="F569">
        <v>5</v>
      </c>
      <c r="G569" t="str">
        <f>PROPER(TRIM(Table1[[#This Row],[Product]]))</f>
        <v>Laptop</v>
      </c>
      <c r="H569" t="str">
        <f>PROPER(TRIM(Table1[[#This Row],[Region]]))</f>
        <v>North</v>
      </c>
      <c r="I569" s="6">
        <f>Table1[[#This Row],[Sales]]*Table1[[#This Row],[Quantity]]</f>
        <v>89340</v>
      </c>
    </row>
    <row r="570" spans="1:9" x14ac:dyDescent="0.35">
      <c r="A570" t="s">
        <v>570</v>
      </c>
      <c r="B570" s="1">
        <v>45074</v>
      </c>
      <c r="C570" t="s">
        <v>8</v>
      </c>
      <c r="D570" t="s">
        <v>25</v>
      </c>
      <c r="E570" s="6">
        <v>43984</v>
      </c>
      <c r="F570">
        <v>4</v>
      </c>
      <c r="G570" t="str">
        <f>PROPER(TRIM(Table1[[#This Row],[Product]]))</f>
        <v>Tablet</v>
      </c>
      <c r="H570" t="str">
        <f>PROPER(TRIM(Table1[[#This Row],[Region]]))</f>
        <v>North</v>
      </c>
      <c r="I570" s="6">
        <f>Table1[[#This Row],[Sales]]*Table1[[#This Row],[Quantity]]</f>
        <v>175936</v>
      </c>
    </row>
    <row r="571" spans="1:9" x14ac:dyDescent="0.35">
      <c r="A571" t="s">
        <v>571</v>
      </c>
      <c r="B571" s="1">
        <v>45229</v>
      </c>
      <c r="C571" t="s">
        <v>33</v>
      </c>
      <c r="D571" t="s">
        <v>31</v>
      </c>
      <c r="E571" s="6">
        <v>11129</v>
      </c>
      <c r="F571">
        <v>8</v>
      </c>
      <c r="G571" t="str">
        <f>PROPER(TRIM(Table1[[#This Row],[Product]]))</f>
        <v>Monitor</v>
      </c>
      <c r="H571" t="str">
        <f>PROPER(TRIM(Table1[[#This Row],[Region]]))</f>
        <v>South</v>
      </c>
      <c r="I571" s="6">
        <f>Table1[[#This Row],[Sales]]*Table1[[#This Row],[Quantity]]</f>
        <v>89032</v>
      </c>
    </row>
    <row r="572" spans="1:9" x14ac:dyDescent="0.35">
      <c r="A572" t="s">
        <v>572</v>
      </c>
      <c r="B572" s="1">
        <v>45273</v>
      </c>
      <c r="C572" t="s">
        <v>8</v>
      </c>
      <c r="D572" t="s">
        <v>28</v>
      </c>
      <c r="E572" s="6">
        <v>43156</v>
      </c>
      <c r="F572">
        <v>5</v>
      </c>
      <c r="G572" t="str">
        <f>PROPER(TRIM(Table1[[#This Row],[Product]]))</f>
        <v>Phone</v>
      </c>
      <c r="H572" t="str">
        <f>PROPER(TRIM(Table1[[#This Row],[Region]]))</f>
        <v>North</v>
      </c>
      <c r="I572" s="6">
        <f>Table1[[#This Row],[Sales]]*Table1[[#This Row],[Quantity]]</f>
        <v>215780</v>
      </c>
    </row>
    <row r="573" spans="1:9" x14ac:dyDescent="0.35">
      <c r="A573" t="s">
        <v>573</v>
      </c>
      <c r="B573" s="1">
        <v>45133</v>
      </c>
      <c r="C573" t="s">
        <v>8</v>
      </c>
      <c r="D573" t="s">
        <v>31</v>
      </c>
      <c r="E573" s="6">
        <v>14530</v>
      </c>
      <c r="F573">
        <v>5</v>
      </c>
      <c r="G573" t="str">
        <f>PROPER(TRIM(Table1[[#This Row],[Product]]))</f>
        <v>Monitor</v>
      </c>
      <c r="H573" t="str">
        <f>PROPER(TRIM(Table1[[#This Row],[Region]]))</f>
        <v>North</v>
      </c>
      <c r="I573" s="6">
        <f>Table1[[#This Row],[Sales]]*Table1[[#This Row],[Quantity]]</f>
        <v>72650</v>
      </c>
    </row>
    <row r="574" spans="1:9" x14ac:dyDescent="0.35">
      <c r="A574" t="s">
        <v>574</v>
      </c>
      <c r="B574" s="1">
        <v>44974</v>
      </c>
      <c r="C574" t="s">
        <v>18</v>
      </c>
      <c r="D574" t="s">
        <v>13</v>
      </c>
      <c r="E574" s="6">
        <v>49797</v>
      </c>
      <c r="F574">
        <v>9</v>
      </c>
      <c r="G574" t="str">
        <f>PROPER(TRIM(Table1[[#This Row],[Product]]))</f>
        <v>Laptop</v>
      </c>
      <c r="H574" t="str">
        <f>PROPER(TRIM(Table1[[#This Row],[Region]]))</f>
        <v>East</v>
      </c>
      <c r="I574" s="6">
        <f>Table1[[#This Row],[Sales]]*Table1[[#This Row],[Quantity]]</f>
        <v>448173</v>
      </c>
    </row>
    <row r="575" spans="1:9" x14ac:dyDescent="0.35">
      <c r="A575" t="s">
        <v>575</v>
      </c>
      <c r="B575" s="1">
        <v>44952</v>
      </c>
      <c r="C575" t="s">
        <v>33</v>
      </c>
      <c r="D575" t="s">
        <v>13</v>
      </c>
      <c r="E575" s="6">
        <v>38321</v>
      </c>
      <c r="F575">
        <v>6</v>
      </c>
      <c r="G575" t="str">
        <f>PROPER(TRIM(Table1[[#This Row],[Product]]))</f>
        <v>Laptop</v>
      </c>
      <c r="H575" t="str">
        <f>PROPER(TRIM(Table1[[#This Row],[Region]]))</f>
        <v>South</v>
      </c>
      <c r="I575" s="6">
        <f>Table1[[#This Row],[Sales]]*Table1[[#This Row],[Quantity]]</f>
        <v>229926</v>
      </c>
    </row>
    <row r="576" spans="1:9" x14ac:dyDescent="0.35">
      <c r="A576" t="s">
        <v>576</v>
      </c>
      <c r="B576" s="1">
        <v>45188</v>
      </c>
      <c r="C576" t="s">
        <v>18</v>
      </c>
      <c r="D576" t="s">
        <v>25</v>
      </c>
      <c r="E576" s="6">
        <v>23042</v>
      </c>
      <c r="F576">
        <v>7</v>
      </c>
      <c r="G576" t="str">
        <f>PROPER(TRIM(Table1[[#This Row],[Product]]))</f>
        <v>Tablet</v>
      </c>
      <c r="H576" t="str">
        <f>PROPER(TRIM(Table1[[#This Row],[Region]]))</f>
        <v>East</v>
      </c>
      <c r="I576" s="6">
        <f>Table1[[#This Row],[Sales]]*Table1[[#This Row],[Quantity]]</f>
        <v>161294</v>
      </c>
    </row>
    <row r="577" spans="1:9" x14ac:dyDescent="0.35">
      <c r="A577" t="s">
        <v>577</v>
      </c>
      <c r="B577" s="1">
        <v>45241</v>
      </c>
      <c r="C577" t="s">
        <v>8</v>
      </c>
      <c r="D577" t="s">
        <v>28</v>
      </c>
      <c r="E577" s="6">
        <v>23606</v>
      </c>
      <c r="F577">
        <v>8</v>
      </c>
      <c r="G577" t="str">
        <f>PROPER(TRIM(Table1[[#This Row],[Product]]))</f>
        <v>Phone</v>
      </c>
      <c r="H577" t="str">
        <f>PROPER(TRIM(Table1[[#This Row],[Region]]))</f>
        <v>North</v>
      </c>
      <c r="I577" s="6">
        <f>Table1[[#This Row],[Sales]]*Table1[[#This Row],[Quantity]]</f>
        <v>188848</v>
      </c>
    </row>
    <row r="578" spans="1:9" x14ac:dyDescent="0.35">
      <c r="A578" t="s">
        <v>577</v>
      </c>
      <c r="B578" s="1">
        <v>45241</v>
      </c>
      <c r="C578" t="s">
        <v>8</v>
      </c>
      <c r="D578" t="s">
        <v>28</v>
      </c>
      <c r="E578" s="6">
        <v>23606</v>
      </c>
      <c r="F578">
        <v>8</v>
      </c>
      <c r="G578" t="str">
        <f>PROPER(TRIM(Table1[[#This Row],[Product]]))</f>
        <v>Phone</v>
      </c>
      <c r="H578" t="str">
        <f>PROPER(TRIM(Table1[[#This Row],[Region]]))</f>
        <v>North</v>
      </c>
      <c r="I578" s="6">
        <f>Table1[[#This Row],[Sales]]*Table1[[#This Row],[Quantity]]</f>
        <v>188848</v>
      </c>
    </row>
    <row r="579" spans="1:9" x14ac:dyDescent="0.35">
      <c r="A579" t="s">
        <v>578</v>
      </c>
      <c r="B579" s="1">
        <v>45069</v>
      </c>
      <c r="C579" t="s">
        <v>8</v>
      </c>
      <c r="D579" t="s">
        <v>40</v>
      </c>
      <c r="E579" s="6">
        <v>31522</v>
      </c>
      <c r="F579">
        <v>2</v>
      </c>
      <c r="G579" t="str">
        <f>PROPER(TRIM(Table1[[#This Row],[Product]]))</f>
        <v>Headphones</v>
      </c>
      <c r="H579" t="str">
        <f>PROPER(TRIM(Table1[[#This Row],[Region]]))</f>
        <v>North</v>
      </c>
      <c r="I579" s="6">
        <f>Table1[[#This Row],[Sales]]*Table1[[#This Row],[Quantity]]</f>
        <v>63044</v>
      </c>
    </row>
    <row r="580" spans="1:9" x14ac:dyDescent="0.35">
      <c r="A580" t="s">
        <v>579</v>
      </c>
      <c r="B580" s="1">
        <v>45248</v>
      </c>
      <c r="C580" t="s">
        <v>18</v>
      </c>
      <c r="D580" t="s">
        <v>40</v>
      </c>
      <c r="E580" s="6">
        <v>17064</v>
      </c>
      <c r="F580">
        <v>1</v>
      </c>
      <c r="G580" t="str">
        <f>PROPER(TRIM(Table1[[#This Row],[Product]]))</f>
        <v>Headphones</v>
      </c>
      <c r="H580" t="str">
        <f>PROPER(TRIM(Table1[[#This Row],[Region]]))</f>
        <v>East</v>
      </c>
      <c r="I580" s="6">
        <f>Table1[[#This Row],[Sales]]*Table1[[#This Row],[Quantity]]</f>
        <v>17064</v>
      </c>
    </row>
    <row r="581" spans="1:9" x14ac:dyDescent="0.35">
      <c r="A581" t="s">
        <v>580</v>
      </c>
      <c r="B581" s="1">
        <v>44936</v>
      </c>
      <c r="C581" t="s">
        <v>18</v>
      </c>
      <c r="D581" t="s">
        <v>31</v>
      </c>
      <c r="E581" s="6">
        <v>47258</v>
      </c>
      <c r="F581">
        <v>3</v>
      </c>
      <c r="G581" t="str">
        <f>PROPER(TRIM(Table1[[#This Row],[Product]]))</f>
        <v>Monitor</v>
      </c>
      <c r="H581" t="str">
        <f>PROPER(TRIM(Table1[[#This Row],[Region]]))</f>
        <v>East</v>
      </c>
      <c r="I581" s="6">
        <f>Table1[[#This Row],[Sales]]*Table1[[#This Row],[Quantity]]</f>
        <v>141774</v>
      </c>
    </row>
    <row r="582" spans="1:9" x14ac:dyDescent="0.35">
      <c r="A582" t="s">
        <v>581</v>
      </c>
      <c r="B582" s="1">
        <v>45112</v>
      </c>
      <c r="C582" t="s">
        <v>18</v>
      </c>
      <c r="D582" t="s">
        <v>40</v>
      </c>
      <c r="E582" s="6">
        <v>34669</v>
      </c>
      <c r="F582">
        <v>3</v>
      </c>
      <c r="G582" t="str">
        <f>PROPER(TRIM(Table1[[#This Row],[Product]]))</f>
        <v>Headphones</v>
      </c>
      <c r="H582" t="str">
        <f>PROPER(TRIM(Table1[[#This Row],[Region]]))</f>
        <v>East</v>
      </c>
      <c r="I582" s="6">
        <f>Table1[[#This Row],[Sales]]*Table1[[#This Row],[Quantity]]</f>
        <v>104007</v>
      </c>
    </row>
    <row r="583" spans="1:9" x14ac:dyDescent="0.35">
      <c r="A583" t="s">
        <v>582</v>
      </c>
      <c r="B583" s="1">
        <v>45210</v>
      </c>
      <c r="C583" t="s">
        <v>8</v>
      </c>
      <c r="D583" t="s">
        <v>28</v>
      </c>
      <c r="E583" s="6">
        <v>486</v>
      </c>
      <c r="F583">
        <v>8</v>
      </c>
      <c r="G583" t="str">
        <f>PROPER(TRIM(Table1[[#This Row],[Product]]))</f>
        <v>Phone</v>
      </c>
      <c r="H583" t="str">
        <f>PROPER(TRIM(Table1[[#This Row],[Region]]))</f>
        <v>North</v>
      </c>
      <c r="I583" s="6">
        <f>Table1[[#This Row],[Sales]]*Table1[[#This Row],[Quantity]]</f>
        <v>3888</v>
      </c>
    </row>
    <row r="584" spans="1:9" x14ac:dyDescent="0.35">
      <c r="A584" t="s">
        <v>583</v>
      </c>
      <c r="B584" s="1">
        <v>45237</v>
      </c>
      <c r="C584" t="s">
        <v>33</v>
      </c>
      <c r="D584" t="s">
        <v>40</v>
      </c>
      <c r="E584" s="6">
        <v>20982</v>
      </c>
      <c r="F584">
        <v>3</v>
      </c>
      <c r="G584" t="str">
        <f>PROPER(TRIM(Table1[[#This Row],[Product]]))</f>
        <v>Headphones</v>
      </c>
      <c r="H584" t="str">
        <f>PROPER(TRIM(Table1[[#This Row],[Region]]))</f>
        <v>South</v>
      </c>
      <c r="I584" s="6">
        <f>Table1[[#This Row],[Sales]]*Table1[[#This Row],[Quantity]]</f>
        <v>62946</v>
      </c>
    </row>
    <row r="585" spans="1:9" x14ac:dyDescent="0.35">
      <c r="A585" t="s">
        <v>584</v>
      </c>
      <c r="B585" s="1">
        <v>45183</v>
      </c>
      <c r="C585" t="s">
        <v>8</v>
      </c>
      <c r="D585" t="s">
        <v>25</v>
      </c>
      <c r="E585" s="6">
        <v>4129</v>
      </c>
      <c r="F585">
        <v>6</v>
      </c>
      <c r="G585" t="str">
        <f>PROPER(TRIM(Table1[[#This Row],[Product]]))</f>
        <v>Tablet</v>
      </c>
      <c r="H585" t="str">
        <f>PROPER(TRIM(Table1[[#This Row],[Region]]))</f>
        <v>North</v>
      </c>
      <c r="I585" s="6">
        <f>Table1[[#This Row],[Sales]]*Table1[[#This Row],[Quantity]]</f>
        <v>24774</v>
      </c>
    </row>
    <row r="586" spans="1:9" x14ac:dyDescent="0.35">
      <c r="A586" t="s">
        <v>585</v>
      </c>
      <c r="B586" s="1">
        <v>45076</v>
      </c>
      <c r="C586" t="s">
        <v>8</v>
      </c>
      <c r="D586" t="s">
        <v>31</v>
      </c>
      <c r="E586" s="6">
        <v>25636</v>
      </c>
      <c r="F586">
        <v>9</v>
      </c>
      <c r="G586" t="str">
        <f>PROPER(TRIM(Table1[[#This Row],[Product]]))</f>
        <v>Monitor</v>
      </c>
      <c r="H586" t="str">
        <f>PROPER(TRIM(Table1[[#This Row],[Region]]))</f>
        <v>North</v>
      </c>
      <c r="I586" s="6">
        <f>Table1[[#This Row],[Sales]]*Table1[[#This Row],[Quantity]]</f>
        <v>230724</v>
      </c>
    </row>
    <row r="587" spans="1:9" x14ac:dyDescent="0.35">
      <c r="A587" t="s">
        <v>586</v>
      </c>
      <c r="B587" s="1">
        <v>45112</v>
      </c>
      <c r="C587" t="s">
        <v>33</v>
      </c>
      <c r="D587" t="s">
        <v>13</v>
      </c>
      <c r="E587" s="6">
        <v>44677</v>
      </c>
      <c r="F587">
        <v>4</v>
      </c>
      <c r="G587" t="str">
        <f>PROPER(TRIM(Table1[[#This Row],[Product]]))</f>
        <v>Laptop</v>
      </c>
      <c r="H587" t="str">
        <f>PROPER(TRIM(Table1[[#This Row],[Region]]))</f>
        <v>South</v>
      </c>
      <c r="I587" s="6">
        <f>Table1[[#This Row],[Sales]]*Table1[[#This Row],[Quantity]]</f>
        <v>178708</v>
      </c>
    </row>
    <row r="588" spans="1:9" x14ac:dyDescent="0.35">
      <c r="A588" t="s">
        <v>587</v>
      </c>
      <c r="B588" s="1">
        <v>45067</v>
      </c>
      <c r="C588" t="s">
        <v>18</v>
      </c>
      <c r="D588" t="s">
        <v>28</v>
      </c>
      <c r="E588" s="6">
        <v>34747</v>
      </c>
      <c r="F588">
        <v>7</v>
      </c>
      <c r="G588" t="str">
        <f>PROPER(TRIM(Table1[[#This Row],[Product]]))</f>
        <v>Phone</v>
      </c>
      <c r="H588" t="str">
        <f>PROPER(TRIM(Table1[[#This Row],[Region]]))</f>
        <v>East</v>
      </c>
      <c r="I588" s="6">
        <f>Table1[[#This Row],[Sales]]*Table1[[#This Row],[Quantity]]</f>
        <v>243229</v>
      </c>
    </row>
    <row r="589" spans="1:9" x14ac:dyDescent="0.35">
      <c r="A589" t="s">
        <v>588</v>
      </c>
      <c r="B589" s="1">
        <v>45203</v>
      </c>
      <c r="C589" t="s">
        <v>8</v>
      </c>
      <c r="D589" t="s">
        <v>40</v>
      </c>
      <c r="E589" s="6">
        <v>9616</v>
      </c>
      <c r="F589">
        <v>3</v>
      </c>
      <c r="G589" t="str">
        <f>PROPER(TRIM(Table1[[#This Row],[Product]]))</f>
        <v>Headphones</v>
      </c>
      <c r="H589" t="str">
        <f>PROPER(TRIM(Table1[[#This Row],[Region]]))</f>
        <v>North</v>
      </c>
      <c r="I589" s="6">
        <f>Table1[[#This Row],[Sales]]*Table1[[#This Row],[Quantity]]</f>
        <v>28848</v>
      </c>
    </row>
    <row r="590" spans="1:9" x14ac:dyDescent="0.35">
      <c r="A590" t="s">
        <v>589</v>
      </c>
      <c r="B590" s="1">
        <v>45158</v>
      </c>
      <c r="C590" t="s">
        <v>30</v>
      </c>
      <c r="D590" t="s">
        <v>25</v>
      </c>
      <c r="E590" s="6">
        <v>49527</v>
      </c>
      <c r="F590">
        <v>4</v>
      </c>
      <c r="G590" t="str">
        <f>PROPER(TRIM(Table1[[#This Row],[Product]]))</f>
        <v>Tablet</v>
      </c>
      <c r="H590" t="str">
        <f>PROPER(TRIM(Table1[[#This Row],[Region]]))</f>
        <v>West</v>
      </c>
      <c r="I590" s="6">
        <f>Table1[[#This Row],[Sales]]*Table1[[#This Row],[Quantity]]</f>
        <v>198108</v>
      </c>
    </row>
    <row r="591" spans="1:9" x14ac:dyDescent="0.35">
      <c r="A591" t="s">
        <v>590</v>
      </c>
      <c r="B591" s="1">
        <v>45009</v>
      </c>
      <c r="C591" t="s">
        <v>18</v>
      </c>
      <c r="D591" t="s">
        <v>25</v>
      </c>
      <c r="E591" s="6">
        <v>28435</v>
      </c>
      <c r="F591">
        <v>7</v>
      </c>
      <c r="G591" t="str">
        <f>PROPER(TRIM(Table1[[#This Row],[Product]]))</f>
        <v>Tablet</v>
      </c>
      <c r="H591" t="str">
        <f>PROPER(TRIM(Table1[[#This Row],[Region]]))</f>
        <v>East</v>
      </c>
      <c r="I591" s="6">
        <f>Table1[[#This Row],[Sales]]*Table1[[#This Row],[Quantity]]</f>
        <v>199045</v>
      </c>
    </row>
    <row r="592" spans="1:9" x14ac:dyDescent="0.35">
      <c r="A592" t="s">
        <v>591</v>
      </c>
      <c r="B592" s="1">
        <v>44950</v>
      </c>
      <c r="C592" t="s">
        <v>8</v>
      </c>
      <c r="D592" t="s">
        <v>13</v>
      </c>
      <c r="E592" s="6">
        <v>36749</v>
      </c>
      <c r="F592">
        <v>10</v>
      </c>
      <c r="G592" t="str">
        <f>PROPER(TRIM(Table1[[#This Row],[Product]]))</f>
        <v>Laptop</v>
      </c>
      <c r="H592" t="str">
        <f>PROPER(TRIM(Table1[[#This Row],[Region]]))</f>
        <v>North</v>
      </c>
      <c r="I592" s="6">
        <f>Table1[[#This Row],[Sales]]*Table1[[#This Row],[Quantity]]</f>
        <v>367490</v>
      </c>
    </row>
    <row r="593" spans="1:9" x14ac:dyDescent="0.35">
      <c r="A593" t="s">
        <v>592</v>
      </c>
      <c r="B593" s="1">
        <v>45048</v>
      </c>
      <c r="C593" t="s">
        <v>8</v>
      </c>
      <c r="D593" t="s">
        <v>31</v>
      </c>
      <c r="E593" s="6">
        <v>9381</v>
      </c>
      <c r="F593">
        <v>3</v>
      </c>
      <c r="G593" t="str">
        <f>PROPER(TRIM(Table1[[#This Row],[Product]]))</f>
        <v>Monitor</v>
      </c>
      <c r="H593" t="str">
        <f>PROPER(TRIM(Table1[[#This Row],[Region]]))</f>
        <v>North</v>
      </c>
      <c r="I593" s="6">
        <f>Table1[[#This Row],[Sales]]*Table1[[#This Row],[Quantity]]</f>
        <v>28143</v>
      </c>
    </row>
    <row r="594" spans="1:9" x14ac:dyDescent="0.35">
      <c r="A594" t="s">
        <v>593</v>
      </c>
      <c r="B594" s="1">
        <v>44971</v>
      </c>
      <c r="C594" t="s">
        <v>8</v>
      </c>
      <c r="D594" t="s">
        <v>13</v>
      </c>
      <c r="E594" s="6">
        <v>29313</v>
      </c>
      <c r="F594">
        <v>9</v>
      </c>
      <c r="G594" t="str">
        <f>PROPER(TRIM(Table1[[#This Row],[Product]]))</f>
        <v>Laptop</v>
      </c>
      <c r="H594" t="str">
        <f>PROPER(TRIM(Table1[[#This Row],[Region]]))</f>
        <v>North</v>
      </c>
      <c r="I594" s="6">
        <f>Table1[[#This Row],[Sales]]*Table1[[#This Row],[Quantity]]</f>
        <v>263817</v>
      </c>
    </row>
    <row r="595" spans="1:9" x14ac:dyDescent="0.35">
      <c r="A595" t="s">
        <v>594</v>
      </c>
      <c r="B595" s="1">
        <v>45291</v>
      </c>
      <c r="C595" t="s">
        <v>30</v>
      </c>
      <c r="D595" t="s">
        <v>40</v>
      </c>
      <c r="E595" s="6">
        <v>3928</v>
      </c>
      <c r="F595">
        <v>4</v>
      </c>
      <c r="G595" t="str">
        <f>PROPER(TRIM(Table1[[#This Row],[Product]]))</f>
        <v>Headphones</v>
      </c>
      <c r="H595" t="str">
        <f>PROPER(TRIM(Table1[[#This Row],[Region]]))</f>
        <v>West</v>
      </c>
      <c r="I595" s="6">
        <f>Table1[[#This Row],[Sales]]*Table1[[#This Row],[Quantity]]</f>
        <v>15712</v>
      </c>
    </row>
    <row r="596" spans="1:9" x14ac:dyDescent="0.35">
      <c r="A596" t="s">
        <v>595</v>
      </c>
      <c r="B596" s="1">
        <v>45261</v>
      </c>
      <c r="C596" t="s">
        <v>18</v>
      </c>
      <c r="D596" t="s">
        <v>40</v>
      </c>
      <c r="E596" s="6">
        <v>37813</v>
      </c>
      <c r="F596">
        <v>3</v>
      </c>
      <c r="G596" t="str">
        <f>PROPER(TRIM(Table1[[#This Row],[Product]]))</f>
        <v>Headphones</v>
      </c>
      <c r="H596" t="str">
        <f>PROPER(TRIM(Table1[[#This Row],[Region]]))</f>
        <v>East</v>
      </c>
      <c r="I596" s="6">
        <f>Table1[[#This Row],[Sales]]*Table1[[#This Row],[Quantity]]</f>
        <v>113439</v>
      </c>
    </row>
    <row r="597" spans="1:9" x14ac:dyDescent="0.35">
      <c r="A597" t="s">
        <v>596</v>
      </c>
      <c r="B597" s="1">
        <v>45118</v>
      </c>
      <c r="C597" t="s">
        <v>30</v>
      </c>
      <c r="D597" t="s">
        <v>25</v>
      </c>
      <c r="E597" s="6">
        <v>23333</v>
      </c>
      <c r="F597">
        <v>5</v>
      </c>
      <c r="G597" t="str">
        <f>PROPER(TRIM(Table1[[#This Row],[Product]]))</f>
        <v>Tablet</v>
      </c>
      <c r="H597" t="str">
        <f>PROPER(TRIM(Table1[[#This Row],[Region]]))</f>
        <v>West</v>
      </c>
      <c r="I597" s="6">
        <f>Table1[[#This Row],[Sales]]*Table1[[#This Row],[Quantity]]</f>
        <v>116665</v>
      </c>
    </row>
    <row r="598" spans="1:9" x14ac:dyDescent="0.35">
      <c r="A598" t="s">
        <v>597</v>
      </c>
      <c r="B598" s="1">
        <v>44992</v>
      </c>
      <c r="C598" t="s">
        <v>18</v>
      </c>
      <c r="D598" t="s">
        <v>13</v>
      </c>
      <c r="E598" s="6">
        <v>17896</v>
      </c>
      <c r="F598">
        <v>6</v>
      </c>
      <c r="G598" t="str">
        <f>PROPER(TRIM(Table1[[#This Row],[Product]]))</f>
        <v>Laptop</v>
      </c>
      <c r="H598" t="str">
        <f>PROPER(TRIM(Table1[[#This Row],[Region]]))</f>
        <v>East</v>
      </c>
      <c r="I598" s="6">
        <f>Table1[[#This Row],[Sales]]*Table1[[#This Row],[Quantity]]</f>
        <v>107376</v>
      </c>
    </row>
    <row r="599" spans="1:9" x14ac:dyDescent="0.35">
      <c r="A599" t="s">
        <v>598</v>
      </c>
      <c r="B599" s="1">
        <v>45118</v>
      </c>
      <c r="C599" t="s">
        <v>30</v>
      </c>
      <c r="D599" t="s">
        <v>28</v>
      </c>
      <c r="E599" s="6">
        <v>45838</v>
      </c>
      <c r="F599">
        <v>7</v>
      </c>
      <c r="G599" t="str">
        <f>PROPER(TRIM(Table1[[#This Row],[Product]]))</f>
        <v>Phone</v>
      </c>
      <c r="H599" t="str">
        <f>PROPER(TRIM(Table1[[#This Row],[Region]]))</f>
        <v>West</v>
      </c>
      <c r="I599" s="6">
        <f>Table1[[#This Row],[Sales]]*Table1[[#This Row],[Quantity]]</f>
        <v>320866</v>
      </c>
    </row>
    <row r="600" spans="1:9" x14ac:dyDescent="0.35">
      <c r="A600" t="s">
        <v>599</v>
      </c>
      <c r="B600" s="1">
        <v>45067</v>
      </c>
      <c r="C600" t="s">
        <v>30</v>
      </c>
      <c r="D600" t="s">
        <v>25</v>
      </c>
      <c r="E600" s="6">
        <v>40555</v>
      </c>
      <c r="F600">
        <v>7</v>
      </c>
      <c r="G600" t="str">
        <f>PROPER(TRIM(Table1[[#This Row],[Product]]))</f>
        <v>Tablet</v>
      </c>
      <c r="H600" t="str">
        <f>PROPER(TRIM(Table1[[#This Row],[Region]]))</f>
        <v>West</v>
      </c>
      <c r="I600" s="6">
        <f>Table1[[#This Row],[Sales]]*Table1[[#This Row],[Quantity]]</f>
        <v>283885</v>
      </c>
    </row>
    <row r="601" spans="1:9" x14ac:dyDescent="0.35">
      <c r="A601" t="s">
        <v>600</v>
      </c>
      <c r="B601" s="1">
        <v>45133</v>
      </c>
      <c r="C601" t="s">
        <v>30</v>
      </c>
      <c r="D601" t="s">
        <v>31</v>
      </c>
      <c r="E601" s="6">
        <v>4980</v>
      </c>
      <c r="F601">
        <v>7</v>
      </c>
      <c r="G601" t="str">
        <f>PROPER(TRIM(Table1[[#This Row],[Product]]))</f>
        <v>Monitor</v>
      </c>
      <c r="H601" t="str">
        <f>PROPER(TRIM(Table1[[#This Row],[Region]]))</f>
        <v>West</v>
      </c>
      <c r="I601" s="6">
        <f>Table1[[#This Row],[Sales]]*Table1[[#This Row],[Quantity]]</f>
        <v>34860</v>
      </c>
    </row>
    <row r="602" spans="1:9" x14ac:dyDescent="0.35">
      <c r="A602" t="s">
        <v>601</v>
      </c>
      <c r="B602" s="1">
        <v>45148</v>
      </c>
      <c r="C602" t="s">
        <v>8</v>
      </c>
      <c r="D602" t="s">
        <v>40</v>
      </c>
      <c r="E602" s="6">
        <v>15409</v>
      </c>
      <c r="F602">
        <v>4</v>
      </c>
      <c r="G602" t="str">
        <f>PROPER(TRIM(Table1[[#This Row],[Product]]))</f>
        <v>Headphones</v>
      </c>
      <c r="H602" t="str">
        <f>PROPER(TRIM(Table1[[#This Row],[Region]]))</f>
        <v>North</v>
      </c>
      <c r="I602" s="6">
        <f>Table1[[#This Row],[Sales]]*Table1[[#This Row],[Quantity]]</f>
        <v>61636</v>
      </c>
    </row>
    <row r="603" spans="1:9" x14ac:dyDescent="0.35">
      <c r="A603" t="s">
        <v>602</v>
      </c>
      <c r="B603" s="1">
        <v>44959</v>
      </c>
      <c r="C603" t="s">
        <v>8</v>
      </c>
      <c r="D603" t="s">
        <v>40</v>
      </c>
      <c r="E603" s="6">
        <v>35039</v>
      </c>
      <c r="F603">
        <v>10</v>
      </c>
      <c r="G603" t="str">
        <f>PROPER(TRIM(Table1[[#This Row],[Product]]))</f>
        <v>Headphones</v>
      </c>
      <c r="H603" t="str">
        <f>PROPER(TRIM(Table1[[#This Row],[Region]]))</f>
        <v>North</v>
      </c>
      <c r="I603" s="6">
        <f>Table1[[#This Row],[Sales]]*Table1[[#This Row],[Quantity]]</f>
        <v>350390</v>
      </c>
    </row>
    <row r="604" spans="1:9" x14ac:dyDescent="0.35">
      <c r="A604" t="s">
        <v>603</v>
      </c>
      <c r="B604" s="1">
        <v>45094</v>
      </c>
      <c r="C604" t="s">
        <v>30</v>
      </c>
      <c r="D604" t="s">
        <v>13</v>
      </c>
      <c r="E604" s="6">
        <v>27116</v>
      </c>
      <c r="F604">
        <v>3</v>
      </c>
      <c r="G604" t="str">
        <f>PROPER(TRIM(Table1[[#This Row],[Product]]))</f>
        <v>Laptop</v>
      </c>
      <c r="H604" t="str">
        <f>PROPER(TRIM(Table1[[#This Row],[Region]]))</f>
        <v>West</v>
      </c>
      <c r="I604" s="6">
        <f>Table1[[#This Row],[Sales]]*Table1[[#This Row],[Quantity]]</f>
        <v>81348</v>
      </c>
    </row>
    <row r="605" spans="1:9" x14ac:dyDescent="0.35">
      <c r="A605" t="s">
        <v>604</v>
      </c>
      <c r="B605" s="1">
        <v>45133</v>
      </c>
      <c r="C605" t="s">
        <v>30</v>
      </c>
      <c r="D605" t="s">
        <v>25</v>
      </c>
      <c r="E605" s="6">
        <v>1944</v>
      </c>
      <c r="F605">
        <v>2</v>
      </c>
      <c r="G605" t="str">
        <f>PROPER(TRIM(Table1[[#This Row],[Product]]))</f>
        <v>Tablet</v>
      </c>
      <c r="H605" t="str">
        <f>PROPER(TRIM(Table1[[#This Row],[Region]]))</f>
        <v>West</v>
      </c>
      <c r="I605" s="6">
        <f>Table1[[#This Row],[Sales]]*Table1[[#This Row],[Quantity]]</f>
        <v>3888</v>
      </c>
    </row>
    <row r="606" spans="1:9" x14ac:dyDescent="0.35">
      <c r="A606" t="s">
        <v>605</v>
      </c>
      <c r="B606" s="1">
        <v>45136</v>
      </c>
      <c r="C606" t="s">
        <v>33</v>
      </c>
      <c r="D606" t="s">
        <v>31</v>
      </c>
      <c r="E606" s="6">
        <v>44289</v>
      </c>
      <c r="F606">
        <v>5</v>
      </c>
      <c r="G606" t="str">
        <f>PROPER(TRIM(Table1[[#This Row],[Product]]))</f>
        <v>Monitor</v>
      </c>
      <c r="H606" t="str">
        <f>PROPER(TRIM(Table1[[#This Row],[Region]]))</f>
        <v>South</v>
      </c>
      <c r="I606" s="6">
        <f>Table1[[#This Row],[Sales]]*Table1[[#This Row],[Quantity]]</f>
        <v>221445</v>
      </c>
    </row>
    <row r="607" spans="1:9" x14ac:dyDescent="0.35">
      <c r="A607" t="s">
        <v>606</v>
      </c>
      <c r="B607" s="1">
        <v>45010</v>
      </c>
      <c r="C607" t="s">
        <v>30</v>
      </c>
      <c r="D607" t="s">
        <v>25</v>
      </c>
      <c r="E607" s="6">
        <v>29052</v>
      </c>
      <c r="F607">
        <v>2</v>
      </c>
      <c r="G607" t="str">
        <f>PROPER(TRIM(Table1[[#This Row],[Product]]))</f>
        <v>Tablet</v>
      </c>
      <c r="H607" t="str">
        <f>PROPER(TRIM(Table1[[#This Row],[Region]]))</f>
        <v>West</v>
      </c>
      <c r="I607" s="6">
        <f>Table1[[#This Row],[Sales]]*Table1[[#This Row],[Quantity]]</f>
        <v>58104</v>
      </c>
    </row>
    <row r="608" spans="1:9" x14ac:dyDescent="0.35">
      <c r="A608" t="s">
        <v>607</v>
      </c>
      <c r="B608" s="1">
        <v>45260</v>
      </c>
      <c r="C608" t="s">
        <v>8</v>
      </c>
      <c r="D608" t="s">
        <v>31</v>
      </c>
      <c r="E608" s="6">
        <v>48311</v>
      </c>
      <c r="F608">
        <v>7</v>
      </c>
      <c r="G608" t="str">
        <f>PROPER(TRIM(Table1[[#This Row],[Product]]))</f>
        <v>Monitor</v>
      </c>
      <c r="H608" t="str">
        <f>PROPER(TRIM(Table1[[#This Row],[Region]]))</f>
        <v>North</v>
      </c>
      <c r="I608" s="6">
        <f>Table1[[#This Row],[Sales]]*Table1[[#This Row],[Quantity]]</f>
        <v>338177</v>
      </c>
    </row>
    <row r="609" spans="1:9" x14ac:dyDescent="0.35">
      <c r="A609" t="s">
        <v>608</v>
      </c>
      <c r="B609" s="1">
        <v>45225</v>
      </c>
      <c r="C609" t="s">
        <v>30</v>
      </c>
      <c r="D609" t="s">
        <v>28</v>
      </c>
      <c r="E609" s="6">
        <v>8771</v>
      </c>
      <c r="F609">
        <v>7</v>
      </c>
      <c r="G609" t="str">
        <f>PROPER(TRIM(Table1[[#This Row],[Product]]))</f>
        <v>Phone</v>
      </c>
      <c r="H609" t="str">
        <f>PROPER(TRIM(Table1[[#This Row],[Region]]))</f>
        <v>West</v>
      </c>
      <c r="I609" s="6">
        <f>Table1[[#This Row],[Sales]]*Table1[[#This Row],[Quantity]]</f>
        <v>61397</v>
      </c>
    </row>
    <row r="610" spans="1:9" x14ac:dyDescent="0.35">
      <c r="A610" t="s">
        <v>609</v>
      </c>
      <c r="B610" s="1">
        <v>45082</v>
      </c>
      <c r="C610" t="s">
        <v>8</v>
      </c>
      <c r="D610" t="s">
        <v>13</v>
      </c>
      <c r="E610" s="6">
        <v>21341</v>
      </c>
      <c r="F610">
        <v>2</v>
      </c>
      <c r="G610" t="str">
        <f>PROPER(TRIM(Table1[[#This Row],[Product]]))</f>
        <v>Laptop</v>
      </c>
      <c r="H610" t="str">
        <f>PROPER(TRIM(Table1[[#This Row],[Region]]))</f>
        <v>North</v>
      </c>
      <c r="I610" s="6">
        <f>Table1[[#This Row],[Sales]]*Table1[[#This Row],[Quantity]]</f>
        <v>42682</v>
      </c>
    </row>
    <row r="611" spans="1:9" x14ac:dyDescent="0.35">
      <c r="A611" t="s">
        <v>610</v>
      </c>
      <c r="B611" s="1">
        <v>45026</v>
      </c>
      <c r="C611" t="s">
        <v>8</v>
      </c>
      <c r="D611" t="s">
        <v>28</v>
      </c>
      <c r="E611" s="6">
        <v>23586</v>
      </c>
      <c r="F611">
        <v>9</v>
      </c>
      <c r="G611" t="str">
        <f>PROPER(TRIM(Table1[[#This Row],[Product]]))</f>
        <v>Phone</v>
      </c>
      <c r="H611" t="str">
        <f>PROPER(TRIM(Table1[[#This Row],[Region]]))</f>
        <v>North</v>
      </c>
      <c r="I611" s="6">
        <f>Table1[[#This Row],[Sales]]*Table1[[#This Row],[Quantity]]</f>
        <v>212274</v>
      </c>
    </row>
    <row r="612" spans="1:9" x14ac:dyDescent="0.35">
      <c r="A612" t="s">
        <v>611</v>
      </c>
      <c r="B612" s="1">
        <v>45010</v>
      </c>
      <c r="C612" t="s">
        <v>33</v>
      </c>
      <c r="D612" t="s">
        <v>40</v>
      </c>
      <c r="E612" s="6">
        <v>36986</v>
      </c>
      <c r="F612">
        <v>9</v>
      </c>
      <c r="G612" t="str">
        <f>PROPER(TRIM(Table1[[#This Row],[Product]]))</f>
        <v>Headphones</v>
      </c>
      <c r="H612" t="str">
        <f>PROPER(TRIM(Table1[[#This Row],[Region]]))</f>
        <v>South</v>
      </c>
      <c r="I612" s="6">
        <f>Table1[[#This Row],[Sales]]*Table1[[#This Row],[Quantity]]</f>
        <v>332874</v>
      </c>
    </row>
    <row r="613" spans="1:9" x14ac:dyDescent="0.35">
      <c r="A613" t="s">
        <v>612</v>
      </c>
      <c r="B613" s="1">
        <v>45062</v>
      </c>
      <c r="C613" t="s">
        <v>33</v>
      </c>
      <c r="D613" t="s">
        <v>28</v>
      </c>
      <c r="E613" s="6">
        <v>47304</v>
      </c>
      <c r="F613">
        <v>1</v>
      </c>
      <c r="G613" t="str">
        <f>PROPER(TRIM(Table1[[#This Row],[Product]]))</f>
        <v>Phone</v>
      </c>
      <c r="H613" t="str">
        <f>PROPER(TRIM(Table1[[#This Row],[Region]]))</f>
        <v>South</v>
      </c>
      <c r="I613" s="6">
        <f>Table1[[#This Row],[Sales]]*Table1[[#This Row],[Quantity]]</f>
        <v>47304</v>
      </c>
    </row>
    <row r="614" spans="1:9" x14ac:dyDescent="0.35">
      <c r="A614" t="s">
        <v>613</v>
      </c>
      <c r="B614" s="1">
        <v>45176</v>
      </c>
      <c r="C614" t="s">
        <v>33</v>
      </c>
      <c r="D614" t="s">
        <v>40</v>
      </c>
      <c r="E614" s="6">
        <v>15889</v>
      </c>
      <c r="F614">
        <v>8</v>
      </c>
      <c r="G614" t="str">
        <f>PROPER(TRIM(Table1[[#This Row],[Product]]))</f>
        <v>Headphones</v>
      </c>
      <c r="H614" t="str">
        <f>PROPER(TRIM(Table1[[#This Row],[Region]]))</f>
        <v>South</v>
      </c>
      <c r="I614" s="6">
        <f>Table1[[#This Row],[Sales]]*Table1[[#This Row],[Quantity]]</f>
        <v>127112</v>
      </c>
    </row>
    <row r="615" spans="1:9" x14ac:dyDescent="0.35">
      <c r="A615" t="s">
        <v>614</v>
      </c>
      <c r="B615" s="1">
        <v>45120</v>
      </c>
      <c r="C615" t="s">
        <v>30</v>
      </c>
      <c r="D615" t="s">
        <v>25</v>
      </c>
      <c r="E615" s="6">
        <v>10429</v>
      </c>
      <c r="F615">
        <v>8</v>
      </c>
      <c r="G615" t="str">
        <f>PROPER(TRIM(Table1[[#This Row],[Product]]))</f>
        <v>Tablet</v>
      </c>
      <c r="H615" t="str">
        <f>PROPER(TRIM(Table1[[#This Row],[Region]]))</f>
        <v>West</v>
      </c>
      <c r="I615" s="6">
        <f>Table1[[#This Row],[Sales]]*Table1[[#This Row],[Quantity]]</f>
        <v>83432</v>
      </c>
    </row>
    <row r="616" spans="1:9" x14ac:dyDescent="0.35">
      <c r="A616" t="s">
        <v>615</v>
      </c>
      <c r="B616" s="1">
        <v>45081</v>
      </c>
      <c r="C616" t="s">
        <v>33</v>
      </c>
      <c r="D616" t="s">
        <v>25</v>
      </c>
      <c r="E616" s="6">
        <v>13849</v>
      </c>
      <c r="F616">
        <v>6</v>
      </c>
      <c r="G616" t="str">
        <f>PROPER(TRIM(Table1[[#This Row],[Product]]))</f>
        <v>Tablet</v>
      </c>
      <c r="H616" t="str">
        <f>PROPER(TRIM(Table1[[#This Row],[Region]]))</f>
        <v>South</v>
      </c>
      <c r="I616" s="6">
        <f>Table1[[#This Row],[Sales]]*Table1[[#This Row],[Quantity]]</f>
        <v>83094</v>
      </c>
    </row>
    <row r="617" spans="1:9" x14ac:dyDescent="0.35">
      <c r="A617" t="s">
        <v>616</v>
      </c>
      <c r="B617" s="1">
        <v>45099</v>
      </c>
      <c r="C617" t="s">
        <v>30</v>
      </c>
      <c r="D617" t="s">
        <v>31</v>
      </c>
      <c r="E617" s="6">
        <v>36090</v>
      </c>
      <c r="F617">
        <v>1</v>
      </c>
      <c r="G617" t="str">
        <f>PROPER(TRIM(Table1[[#This Row],[Product]]))</f>
        <v>Monitor</v>
      </c>
      <c r="H617" t="str">
        <f>PROPER(TRIM(Table1[[#This Row],[Region]]))</f>
        <v>West</v>
      </c>
      <c r="I617" s="6">
        <f>Table1[[#This Row],[Sales]]*Table1[[#This Row],[Quantity]]</f>
        <v>36090</v>
      </c>
    </row>
    <row r="618" spans="1:9" x14ac:dyDescent="0.35">
      <c r="A618" t="s">
        <v>617</v>
      </c>
      <c r="B618" s="1">
        <v>44960</v>
      </c>
      <c r="C618" t="s">
        <v>8</v>
      </c>
      <c r="D618" t="s">
        <v>31</v>
      </c>
      <c r="E618" s="6">
        <v>43429</v>
      </c>
      <c r="F618">
        <v>3</v>
      </c>
      <c r="G618" t="str">
        <f>PROPER(TRIM(Table1[[#This Row],[Product]]))</f>
        <v>Monitor</v>
      </c>
      <c r="H618" t="str">
        <f>PROPER(TRIM(Table1[[#This Row],[Region]]))</f>
        <v>North</v>
      </c>
      <c r="I618" s="6">
        <f>Table1[[#This Row],[Sales]]*Table1[[#This Row],[Quantity]]</f>
        <v>130287</v>
      </c>
    </row>
    <row r="619" spans="1:9" x14ac:dyDescent="0.35">
      <c r="A619" t="s">
        <v>618</v>
      </c>
      <c r="B619" s="1">
        <v>45115</v>
      </c>
      <c r="C619" t="s">
        <v>33</v>
      </c>
      <c r="D619" t="s">
        <v>31</v>
      </c>
      <c r="E619" s="6">
        <v>12430</v>
      </c>
      <c r="F619">
        <v>9</v>
      </c>
      <c r="G619" t="str">
        <f>PROPER(TRIM(Table1[[#This Row],[Product]]))</f>
        <v>Monitor</v>
      </c>
      <c r="H619" t="str">
        <f>PROPER(TRIM(Table1[[#This Row],[Region]]))</f>
        <v>South</v>
      </c>
      <c r="I619" s="6">
        <f>Table1[[#This Row],[Sales]]*Table1[[#This Row],[Quantity]]</f>
        <v>111870</v>
      </c>
    </row>
    <row r="620" spans="1:9" x14ac:dyDescent="0.35">
      <c r="A620" t="s">
        <v>619</v>
      </c>
      <c r="B620" s="1">
        <v>44997</v>
      </c>
      <c r="C620" t="s">
        <v>30</v>
      </c>
      <c r="D620" t="s">
        <v>31</v>
      </c>
      <c r="E620" s="6">
        <v>30907</v>
      </c>
      <c r="F620">
        <v>7</v>
      </c>
      <c r="G620" t="str">
        <f>PROPER(TRIM(Table1[[#This Row],[Product]]))</f>
        <v>Monitor</v>
      </c>
      <c r="H620" t="str">
        <f>PROPER(TRIM(Table1[[#This Row],[Region]]))</f>
        <v>West</v>
      </c>
      <c r="I620" s="6">
        <f>Table1[[#This Row],[Sales]]*Table1[[#This Row],[Quantity]]</f>
        <v>216349</v>
      </c>
    </row>
    <row r="621" spans="1:9" x14ac:dyDescent="0.35">
      <c r="A621" t="s">
        <v>620</v>
      </c>
      <c r="B621" s="1">
        <v>45013</v>
      </c>
      <c r="C621" t="s">
        <v>18</v>
      </c>
      <c r="D621" t="s">
        <v>40</v>
      </c>
      <c r="E621" s="6">
        <v>1972</v>
      </c>
      <c r="F621">
        <v>5</v>
      </c>
      <c r="G621" t="str">
        <f>PROPER(TRIM(Table1[[#This Row],[Product]]))</f>
        <v>Headphones</v>
      </c>
      <c r="H621" t="str">
        <f>PROPER(TRIM(Table1[[#This Row],[Region]]))</f>
        <v>East</v>
      </c>
      <c r="I621" s="6">
        <f>Table1[[#This Row],[Sales]]*Table1[[#This Row],[Quantity]]</f>
        <v>9860</v>
      </c>
    </row>
    <row r="622" spans="1:9" x14ac:dyDescent="0.35">
      <c r="A622" t="s">
        <v>621</v>
      </c>
      <c r="B622" s="1">
        <v>45055</v>
      </c>
      <c r="C622" t="s">
        <v>33</v>
      </c>
      <c r="D622" t="s">
        <v>31</v>
      </c>
      <c r="E622" s="6">
        <v>21473</v>
      </c>
      <c r="F622">
        <v>4</v>
      </c>
      <c r="G622" t="str">
        <f>PROPER(TRIM(Table1[[#This Row],[Product]]))</f>
        <v>Monitor</v>
      </c>
      <c r="H622" t="str">
        <f>PROPER(TRIM(Table1[[#This Row],[Region]]))</f>
        <v>South</v>
      </c>
      <c r="I622" s="6">
        <f>Table1[[#This Row],[Sales]]*Table1[[#This Row],[Quantity]]</f>
        <v>85892</v>
      </c>
    </row>
    <row r="623" spans="1:9" x14ac:dyDescent="0.35">
      <c r="A623" t="s">
        <v>622</v>
      </c>
      <c r="B623" s="1">
        <v>44994</v>
      </c>
      <c r="C623" t="s">
        <v>33</v>
      </c>
      <c r="D623" t="s">
        <v>25</v>
      </c>
      <c r="E623" s="6">
        <v>35499</v>
      </c>
      <c r="F623">
        <v>3</v>
      </c>
      <c r="G623" t="str">
        <f>PROPER(TRIM(Table1[[#This Row],[Product]]))</f>
        <v>Tablet</v>
      </c>
      <c r="H623" t="str">
        <f>PROPER(TRIM(Table1[[#This Row],[Region]]))</f>
        <v>South</v>
      </c>
      <c r="I623" s="6">
        <f>Table1[[#This Row],[Sales]]*Table1[[#This Row],[Quantity]]</f>
        <v>106497</v>
      </c>
    </row>
    <row r="624" spans="1:9" x14ac:dyDescent="0.35">
      <c r="A624" t="s">
        <v>623</v>
      </c>
      <c r="B624" s="1">
        <v>45268</v>
      </c>
      <c r="C624" t="s">
        <v>30</v>
      </c>
      <c r="D624" t="s">
        <v>28</v>
      </c>
      <c r="E624" s="6">
        <v>45193</v>
      </c>
      <c r="F624">
        <v>1</v>
      </c>
      <c r="G624" t="str">
        <f>PROPER(TRIM(Table1[[#This Row],[Product]]))</f>
        <v>Phone</v>
      </c>
      <c r="H624" t="str">
        <f>PROPER(TRIM(Table1[[#This Row],[Region]]))</f>
        <v>West</v>
      </c>
      <c r="I624" s="6">
        <f>Table1[[#This Row],[Sales]]*Table1[[#This Row],[Quantity]]</f>
        <v>45193</v>
      </c>
    </row>
    <row r="625" spans="1:9" x14ac:dyDescent="0.35">
      <c r="A625" t="s">
        <v>624</v>
      </c>
      <c r="B625" s="1">
        <v>45051</v>
      </c>
      <c r="C625" t="s">
        <v>8</v>
      </c>
      <c r="D625" t="s">
        <v>28</v>
      </c>
      <c r="E625" s="6">
        <v>4838</v>
      </c>
      <c r="F625">
        <v>1</v>
      </c>
      <c r="G625" t="str">
        <f>PROPER(TRIM(Table1[[#This Row],[Product]]))</f>
        <v>Phone</v>
      </c>
      <c r="H625" t="str">
        <f>PROPER(TRIM(Table1[[#This Row],[Region]]))</f>
        <v>North</v>
      </c>
      <c r="I625" s="6">
        <f>Table1[[#This Row],[Sales]]*Table1[[#This Row],[Quantity]]</f>
        <v>4838</v>
      </c>
    </row>
    <row r="626" spans="1:9" x14ac:dyDescent="0.35">
      <c r="A626" t="s">
        <v>625</v>
      </c>
      <c r="B626" s="1">
        <v>44967</v>
      </c>
      <c r="C626" t="s">
        <v>8</v>
      </c>
      <c r="D626" t="s">
        <v>25</v>
      </c>
      <c r="E626" s="6">
        <v>28915</v>
      </c>
      <c r="F626">
        <v>4</v>
      </c>
      <c r="G626" t="str">
        <f>PROPER(TRIM(Table1[[#This Row],[Product]]))</f>
        <v>Tablet</v>
      </c>
      <c r="H626" t="str">
        <f>PROPER(TRIM(Table1[[#This Row],[Region]]))</f>
        <v>North</v>
      </c>
      <c r="I626" s="6">
        <f>Table1[[#This Row],[Sales]]*Table1[[#This Row],[Quantity]]</f>
        <v>115660</v>
      </c>
    </row>
    <row r="627" spans="1:9" x14ac:dyDescent="0.35">
      <c r="A627" t="s">
        <v>626</v>
      </c>
      <c r="B627" s="1">
        <v>45083</v>
      </c>
      <c r="C627" t="s">
        <v>8</v>
      </c>
      <c r="D627" t="s">
        <v>25</v>
      </c>
      <c r="E627" s="6">
        <v>42870</v>
      </c>
      <c r="F627">
        <v>4</v>
      </c>
      <c r="G627" t="str">
        <f>PROPER(TRIM(Table1[[#This Row],[Product]]))</f>
        <v>Tablet</v>
      </c>
      <c r="H627" t="str">
        <f>PROPER(TRIM(Table1[[#This Row],[Region]]))</f>
        <v>North</v>
      </c>
      <c r="I627" s="6">
        <f>Table1[[#This Row],[Sales]]*Table1[[#This Row],[Quantity]]</f>
        <v>171480</v>
      </c>
    </row>
    <row r="628" spans="1:9" x14ac:dyDescent="0.35">
      <c r="A628" t="s">
        <v>627</v>
      </c>
      <c r="B628" s="1">
        <v>45255</v>
      </c>
      <c r="C628" t="s">
        <v>8</v>
      </c>
      <c r="D628" t="s">
        <v>25</v>
      </c>
      <c r="E628" s="6">
        <v>26430</v>
      </c>
      <c r="F628">
        <v>10</v>
      </c>
      <c r="G628" t="str">
        <f>PROPER(TRIM(Table1[[#This Row],[Product]]))</f>
        <v>Tablet</v>
      </c>
      <c r="H628" t="str">
        <f>PROPER(TRIM(Table1[[#This Row],[Region]]))</f>
        <v>North</v>
      </c>
      <c r="I628" s="6">
        <f>Table1[[#This Row],[Sales]]*Table1[[#This Row],[Quantity]]</f>
        <v>264300</v>
      </c>
    </row>
    <row r="629" spans="1:9" x14ac:dyDescent="0.35">
      <c r="A629" t="s">
        <v>628</v>
      </c>
      <c r="B629" s="1">
        <v>44965</v>
      </c>
      <c r="C629" t="s">
        <v>30</v>
      </c>
      <c r="D629" t="s">
        <v>40</v>
      </c>
      <c r="E629" s="6">
        <v>9357</v>
      </c>
      <c r="F629">
        <v>2</v>
      </c>
      <c r="G629" t="str">
        <f>PROPER(TRIM(Table1[[#This Row],[Product]]))</f>
        <v>Headphones</v>
      </c>
      <c r="H629" t="str">
        <f>PROPER(TRIM(Table1[[#This Row],[Region]]))</f>
        <v>West</v>
      </c>
      <c r="I629" s="6">
        <f>Table1[[#This Row],[Sales]]*Table1[[#This Row],[Quantity]]</f>
        <v>18714</v>
      </c>
    </row>
    <row r="630" spans="1:9" x14ac:dyDescent="0.35">
      <c r="A630" t="s">
        <v>629</v>
      </c>
      <c r="B630" s="1">
        <v>45247</v>
      </c>
      <c r="C630" t="s">
        <v>8</v>
      </c>
      <c r="D630" t="s">
        <v>25</v>
      </c>
      <c r="E630" s="6">
        <v>25337</v>
      </c>
      <c r="F630">
        <v>1</v>
      </c>
      <c r="G630" t="str">
        <f>PROPER(TRIM(Table1[[#This Row],[Product]]))</f>
        <v>Tablet</v>
      </c>
      <c r="H630" t="str">
        <f>PROPER(TRIM(Table1[[#This Row],[Region]]))</f>
        <v>North</v>
      </c>
      <c r="I630" s="6">
        <f>Table1[[#This Row],[Sales]]*Table1[[#This Row],[Quantity]]</f>
        <v>25337</v>
      </c>
    </row>
    <row r="631" spans="1:9" x14ac:dyDescent="0.35">
      <c r="A631" t="s">
        <v>630</v>
      </c>
      <c r="B631" s="1">
        <v>45071</v>
      </c>
      <c r="C631" t="s">
        <v>30</v>
      </c>
      <c r="D631" t="s">
        <v>28</v>
      </c>
      <c r="E631" s="6">
        <v>32828</v>
      </c>
      <c r="F631">
        <v>6</v>
      </c>
      <c r="G631" t="str">
        <f>PROPER(TRIM(Table1[[#This Row],[Product]]))</f>
        <v>Phone</v>
      </c>
      <c r="H631" t="str">
        <f>PROPER(TRIM(Table1[[#This Row],[Region]]))</f>
        <v>West</v>
      </c>
      <c r="I631" s="6">
        <f>Table1[[#This Row],[Sales]]*Table1[[#This Row],[Quantity]]</f>
        <v>196968</v>
      </c>
    </row>
    <row r="632" spans="1:9" x14ac:dyDescent="0.35">
      <c r="A632" t="s">
        <v>631</v>
      </c>
      <c r="B632" s="1">
        <v>44950</v>
      </c>
      <c r="C632" t="s">
        <v>30</v>
      </c>
      <c r="D632" t="s">
        <v>31</v>
      </c>
      <c r="E632" s="6">
        <v>3156</v>
      </c>
      <c r="F632">
        <v>2</v>
      </c>
      <c r="G632" t="str">
        <f>PROPER(TRIM(Table1[[#This Row],[Product]]))</f>
        <v>Monitor</v>
      </c>
      <c r="H632" t="str">
        <f>PROPER(TRIM(Table1[[#This Row],[Region]]))</f>
        <v>West</v>
      </c>
      <c r="I632" s="6">
        <f>Table1[[#This Row],[Sales]]*Table1[[#This Row],[Quantity]]</f>
        <v>6312</v>
      </c>
    </row>
    <row r="633" spans="1:9" x14ac:dyDescent="0.35">
      <c r="A633" t="s">
        <v>632</v>
      </c>
      <c r="B633" s="1">
        <v>45144</v>
      </c>
      <c r="C633" t="s">
        <v>8</v>
      </c>
      <c r="D633" t="s">
        <v>40</v>
      </c>
      <c r="E633" s="6">
        <v>41428</v>
      </c>
      <c r="F633">
        <v>3</v>
      </c>
      <c r="G633" t="str">
        <f>PROPER(TRIM(Table1[[#This Row],[Product]]))</f>
        <v>Headphones</v>
      </c>
      <c r="H633" t="str">
        <f>PROPER(TRIM(Table1[[#This Row],[Region]]))</f>
        <v>North</v>
      </c>
      <c r="I633" s="6">
        <f>Table1[[#This Row],[Sales]]*Table1[[#This Row],[Quantity]]</f>
        <v>124284</v>
      </c>
    </row>
    <row r="634" spans="1:9" x14ac:dyDescent="0.35">
      <c r="A634" t="s">
        <v>633</v>
      </c>
      <c r="B634" s="1">
        <v>45112</v>
      </c>
      <c r="C634" t="s">
        <v>30</v>
      </c>
      <c r="D634" t="s">
        <v>31</v>
      </c>
      <c r="E634" s="6">
        <v>15416</v>
      </c>
      <c r="F634">
        <v>3</v>
      </c>
      <c r="G634" t="str">
        <f>PROPER(TRIM(Table1[[#This Row],[Product]]))</f>
        <v>Monitor</v>
      </c>
      <c r="H634" t="str">
        <f>PROPER(TRIM(Table1[[#This Row],[Region]]))</f>
        <v>West</v>
      </c>
      <c r="I634" s="6">
        <f>Table1[[#This Row],[Sales]]*Table1[[#This Row],[Quantity]]</f>
        <v>46248</v>
      </c>
    </row>
    <row r="635" spans="1:9" x14ac:dyDescent="0.35">
      <c r="A635" t="s">
        <v>634</v>
      </c>
      <c r="B635" s="1">
        <v>45157</v>
      </c>
      <c r="C635" t="s">
        <v>8</v>
      </c>
      <c r="D635" t="s">
        <v>13</v>
      </c>
      <c r="E635" s="6">
        <v>35211</v>
      </c>
      <c r="F635">
        <v>3</v>
      </c>
      <c r="G635" t="str">
        <f>PROPER(TRIM(Table1[[#This Row],[Product]]))</f>
        <v>Laptop</v>
      </c>
      <c r="H635" t="str">
        <f>PROPER(TRIM(Table1[[#This Row],[Region]]))</f>
        <v>North</v>
      </c>
      <c r="I635" s="6">
        <f>Table1[[#This Row],[Sales]]*Table1[[#This Row],[Quantity]]</f>
        <v>105633</v>
      </c>
    </row>
    <row r="636" spans="1:9" x14ac:dyDescent="0.35">
      <c r="A636" t="s">
        <v>635</v>
      </c>
      <c r="B636" s="1">
        <v>45038</v>
      </c>
      <c r="C636" t="s">
        <v>18</v>
      </c>
      <c r="D636" t="s">
        <v>28</v>
      </c>
      <c r="E636" s="6">
        <v>44768</v>
      </c>
      <c r="F636">
        <v>2</v>
      </c>
      <c r="G636" t="str">
        <f>PROPER(TRIM(Table1[[#This Row],[Product]]))</f>
        <v>Phone</v>
      </c>
      <c r="H636" t="str">
        <f>PROPER(TRIM(Table1[[#This Row],[Region]]))</f>
        <v>East</v>
      </c>
      <c r="I636" s="6">
        <f>Table1[[#This Row],[Sales]]*Table1[[#This Row],[Quantity]]</f>
        <v>89536</v>
      </c>
    </row>
    <row r="637" spans="1:9" x14ac:dyDescent="0.35">
      <c r="A637" t="s">
        <v>636</v>
      </c>
      <c r="B637" s="1">
        <v>45202</v>
      </c>
      <c r="C637" t="s">
        <v>30</v>
      </c>
      <c r="D637" t="s">
        <v>25</v>
      </c>
      <c r="E637" s="6">
        <v>37078</v>
      </c>
      <c r="F637">
        <v>1</v>
      </c>
      <c r="G637" t="str">
        <f>PROPER(TRIM(Table1[[#This Row],[Product]]))</f>
        <v>Tablet</v>
      </c>
      <c r="H637" t="str">
        <f>PROPER(TRIM(Table1[[#This Row],[Region]]))</f>
        <v>West</v>
      </c>
      <c r="I637" s="6">
        <f>Table1[[#This Row],[Sales]]*Table1[[#This Row],[Quantity]]</f>
        <v>37078</v>
      </c>
    </row>
    <row r="638" spans="1:9" x14ac:dyDescent="0.35">
      <c r="A638" t="s">
        <v>637</v>
      </c>
      <c r="B638" s="1">
        <v>45232</v>
      </c>
      <c r="C638" t="s">
        <v>33</v>
      </c>
      <c r="D638" t="s">
        <v>25</v>
      </c>
      <c r="E638" s="6">
        <v>49905</v>
      </c>
      <c r="F638">
        <v>9</v>
      </c>
      <c r="G638" t="str">
        <f>PROPER(TRIM(Table1[[#This Row],[Product]]))</f>
        <v>Tablet</v>
      </c>
      <c r="H638" t="str">
        <f>PROPER(TRIM(Table1[[#This Row],[Region]]))</f>
        <v>South</v>
      </c>
      <c r="I638" s="6">
        <f>Table1[[#This Row],[Sales]]*Table1[[#This Row],[Quantity]]</f>
        <v>449145</v>
      </c>
    </row>
    <row r="639" spans="1:9" x14ac:dyDescent="0.35">
      <c r="A639" t="s">
        <v>638</v>
      </c>
      <c r="B639" s="1">
        <v>45038</v>
      </c>
      <c r="C639" t="s">
        <v>8</v>
      </c>
      <c r="D639" t="s">
        <v>31</v>
      </c>
      <c r="E639" s="6">
        <v>14248</v>
      </c>
      <c r="F639">
        <v>6</v>
      </c>
      <c r="G639" t="str">
        <f>PROPER(TRIM(Table1[[#This Row],[Product]]))</f>
        <v>Monitor</v>
      </c>
      <c r="H639" t="str">
        <f>PROPER(TRIM(Table1[[#This Row],[Region]]))</f>
        <v>North</v>
      </c>
      <c r="I639" s="6">
        <f>Table1[[#This Row],[Sales]]*Table1[[#This Row],[Quantity]]</f>
        <v>85488</v>
      </c>
    </row>
    <row r="640" spans="1:9" x14ac:dyDescent="0.35">
      <c r="A640" t="s">
        <v>639</v>
      </c>
      <c r="B640" s="1">
        <v>45279</v>
      </c>
      <c r="C640" t="s">
        <v>33</v>
      </c>
      <c r="D640" t="s">
        <v>25</v>
      </c>
      <c r="E640" s="6">
        <v>37580</v>
      </c>
      <c r="F640">
        <v>10</v>
      </c>
      <c r="G640" t="str">
        <f>PROPER(TRIM(Table1[[#This Row],[Product]]))</f>
        <v>Tablet</v>
      </c>
      <c r="H640" t="str">
        <f>PROPER(TRIM(Table1[[#This Row],[Region]]))</f>
        <v>South</v>
      </c>
      <c r="I640" s="6">
        <f>Table1[[#This Row],[Sales]]*Table1[[#This Row],[Quantity]]</f>
        <v>375800</v>
      </c>
    </row>
    <row r="641" spans="1:9" x14ac:dyDescent="0.35">
      <c r="A641" t="s">
        <v>640</v>
      </c>
      <c r="B641" s="1">
        <v>45031</v>
      </c>
      <c r="C641" t="s">
        <v>18</v>
      </c>
      <c r="D641" t="s">
        <v>40</v>
      </c>
      <c r="E641" s="6">
        <v>20405</v>
      </c>
      <c r="F641">
        <v>6</v>
      </c>
      <c r="G641" t="str">
        <f>PROPER(TRIM(Table1[[#This Row],[Product]]))</f>
        <v>Headphones</v>
      </c>
      <c r="H641" t="str">
        <f>PROPER(TRIM(Table1[[#This Row],[Region]]))</f>
        <v>East</v>
      </c>
      <c r="I641" s="6">
        <f>Table1[[#This Row],[Sales]]*Table1[[#This Row],[Quantity]]</f>
        <v>122430</v>
      </c>
    </row>
    <row r="642" spans="1:9" x14ac:dyDescent="0.35">
      <c r="A642" t="s">
        <v>641</v>
      </c>
      <c r="B642" s="1">
        <v>44957</v>
      </c>
      <c r="C642" t="s">
        <v>8</v>
      </c>
      <c r="D642" t="s">
        <v>28</v>
      </c>
      <c r="E642" s="6">
        <v>47818</v>
      </c>
      <c r="F642">
        <v>3</v>
      </c>
      <c r="G642" t="str">
        <f>PROPER(TRIM(Table1[[#This Row],[Product]]))</f>
        <v>Phone</v>
      </c>
      <c r="H642" t="str">
        <f>PROPER(TRIM(Table1[[#This Row],[Region]]))</f>
        <v>North</v>
      </c>
      <c r="I642" s="6">
        <f>Table1[[#This Row],[Sales]]*Table1[[#This Row],[Quantity]]</f>
        <v>143454</v>
      </c>
    </row>
    <row r="643" spans="1:9" x14ac:dyDescent="0.35">
      <c r="A643" t="s">
        <v>642</v>
      </c>
      <c r="B643" s="1">
        <v>45080</v>
      </c>
      <c r="C643" t="s">
        <v>30</v>
      </c>
      <c r="D643" t="s">
        <v>25</v>
      </c>
      <c r="E643" s="6">
        <v>5644</v>
      </c>
      <c r="F643">
        <v>8</v>
      </c>
      <c r="G643" t="str">
        <f>PROPER(TRIM(Table1[[#This Row],[Product]]))</f>
        <v>Tablet</v>
      </c>
      <c r="H643" t="str">
        <f>PROPER(TRIM(Table1[[#This Row],[Region]]))</f>
        <v>West</v>
      </c>
      <c r="I643" s="6">
        <f>Table1[[#This Row],[Sales]]*Table1[[#This Row],[Quantity]]</f>
        <v>45152</v>
      </c>
    </row>
    <row r="644" spans="1:9" x14ac:dyDescent="0.35">
      <c r="A644" t="s">
        <v>643</v>
      </c>
      <c r="B644" s="1">
        <v>45118</v>
      </c>
      <c r="C644" t="s">
        <v>8</v>
      </c>
      <c r="D644" t="s">
        <v>31</v>
      </c>
      <c r="E644" s="6">
        <v>47564</v>
      </c>
      <c r="F644">
        <v>1</v>
      </c>
      <c r="G644" t="str">
        <f>PROPER(TRIM(Table1[[#This Row],[Product]]))</f>
        <v>Monitor</v>
      </c>
      <c r="H644" t="str">
        <f>PROPER(TRIM(Table1[[#This Row],[Region]]))</f>
        <v>North</v>
      </c>
      <c r="I644" s="6">
        <f>Table1[[#This Row],[Sales]]*Table1[[#This Row],[Quantity]]</f>
        <v>47564</v>
      </c>
    </row>
    <row r="645" spans="1:9" x14ac:dyDescent="0.35">
      <c r="A645" t="s">
        <v>644</v>
      </c>
      <c r="B645" s="1">
        <v>45284</v>
      </c>
      <c r="C645" t="s">
        <v>30</v>
      </c>
      <c r="D645" t="s">
        <v>28</v>
      </c>
      <c r="E645" s="6">
        <v>26361</v>
      </c>
      <c r="F645">
        <v>7</v>
      </c>
      <c r="G645" t="str">
        <f>PROPER(TRIM(Table1[[#This Row],[Product]]))</f>
        <v>Phone</v>
      </c>
      <c r="H645" t="str">
        <f>PROPER(TRIM(Table1[[#This Row],[Region]]))</f>
        <v>West</v>
      </c>
      <c r="I645" s="6">
        <f>Table1[[#This Row],[Sales]]*Table1[[#This Row],[Quantity]]</f>
        <v>184527</v>
      </c>
    </row>
    <row r="646" spans="1:9" x14ac:dyDescent="0.35">
      <c r="A646" t="s">
        <v>645</v>
      </c>
      <c r="B646" s="1">
        <v>45059</v>
      </c>
      <c r="C646" t="s">
        <v>33</v>
      </c>
      <c r="D646" t="s">
        <v>40</v>
      </c>
      <c r="E646" s="6">
        <v>23670</v>
      </c>
      <c r="F646">
        <v>7</v>
      </c>
      <c r="G646" t="str">
        <f>PROPER(TRIM(Table1[[#This Row],[Product]]))</f>
        <v>Headphones</v>
      </c>
      <c r="H646" t="str">
        <f>PROPER(TRIM(Table1[[#This Row],[Region]]))</f>
        <v>South</v>
      </c>
      <c r="I646" s="6">
        <f>Table1[[#This Row],[Sales]]*Table1[[#This Row],[Quantity]]</f>
        <v>165690</v>
      </c>
    </row>
    <row r="647" spans="1:9" x14ac:dyDescent="0.35">
      <c r="A647" t="s">
        <v>646</v>
      </c>
      <c r="B647" s="1">
        <v>45216</v>
      </c>
      <c r="C647" t="s">
        <v>33</v>
      </c>
      <c r="D647" t="s">
        <v>28</v>
      </c>
      <c r="E647" s="6">
        <v>1274</v>
      </c>
      <c r="F647">
        <v>6</v>
      </c>
      <c r="G647" t="str">
        <f>PROPER(TRIM(Table1[[#This Row],[Product]]))</f>
        <v>Phone</v>
      </c>
      <c r="H647" t="str">
        <f>PROPER(TRIM(Table1[[#This Row],[Region]]))</f>
        <v>South</v>
      </c>
      <c r="I647" s="6">
        <f>Table1[[#This Row],[Sales]]*Table1[[#This Row],[Quantity]]</f>
        <v>7644</v>
      </c>
    </row>
    <row r="648" spans="1:9" x14ac:dyDescent="0.35">
      <c r="A648" t="s">
        <v>647</v>
      </c>
      <c r="B648" s="1">
        <v>45144</v>
      </c>
      <c r="C648" t="s">
        <v>33</v>
      </c>
      <c r="D648" t="s">
        <v>31</v>
      </c>
      <c r="E648" s="6">
        <v>14332</v>
      </c>
      <c r="F648">
        <v>5</v>
      </c>
      <c r="G648" t="str">
        <f>PROPER(TRIM(Table1[[#This Row],[Product]]))</f>
        <v>Monitor</v>
      </c>
      <c r="H648" t="str">
        <f>PROPER(TRIM(Table1[[#This Row],[Region]]))</f>
        <v>South</v>
      </c>
      <c r="I648" s="6">
        <f>Table1[[#This Row],[Sales]]*Table1[[#This Row],[Quantity]]</f>
        <v>71660</v>
      </c>
    </row>
    <row r="649" spans="1:9" x14ac:dyDescent="0.35">
      <c r="A649" t="s">
        <v>648</v>
      </c>
      <c r="B649" s="1">
        <v>45101</v>
      </c>
      <c r="C649" t="s">
        <v>30</v>
      </c>
      <c r="D649" t="s">
        <v>13</v>
      </c>
      <c r="E649" s="6">
        <v>12311</v>
      </c>
      <c r="F649">
        <v>6</v>
      </c>
      <c r="G649" t="str">
        <f>PROPER(TRIM(Table1[[#This Row],[Product]]))</f>
        <v>Laptop</v>
      </c>
      <c r="H649" t="str">
        <f>PROPER(TRIM(Table1[[#This Row],[Region]]))</f>
        <v>West</v>
      </c>
      <c r="I649" s="6">
        <f>Table1[[#This Row],[Sales]]*Table1[[#This Row],[Quantity]]</f>
        <v>73866</v>
      </c>
    </row>
    <row r="650" spans="1:9" x14ac:dyDescent="0.35">
      <c r="A650" t="s">
        <v>649</v>
      </c>
      <c r="B650" s="1">
        <v>45242</v>
      </c>
      <c r="C650" t="s">
        <v>8</v>
      </c>
      <c r="D650" t="s">
        <v>40</v>
      </c>
      <c r="E650" s="6">
        <v>46358</v>
      </c>
      <c r="F650">
        <v>4</v>
      </c>
      <c r="G650" t="str">
        <f>PROPER(TRIM(Table1[[#This Row],[Product]]))</f>
        <v>Headphones</v>
      </c>
      <c r="H650" t="str">
        <f>PROPER(TRIM(Table1[[#This Row],[Region]]))</f>
        <v>North</v>
      </c>
      <c r="I650" s="6">
        <f>Table1[[#This Row],[Sales]]*Table1[[#This Row],[Quantity]]</f>
        <v>185432</v>
      </c>
    </row>
    <row r="651" spans="1:9" x14ac:dyDescent="0.35">
      <c r="A651" t="s">
        <v>650</v>
      </c>
      <c r="B651" s="1">
        <v>45270</v>
      </c>
      <c r="C651" t="s">
        <v>30</v>
      </c>
      <c r="D651" t="s">
        <v>13</v>
      </c>
      <c r="E651" s="6">
        <v>19511</v>
      </c>
      <c r="F651">
        <v>4</v>
      </c>
      <c r="G651" t="str">
        <f>PROPER(TRIM(Table1[[#This Row],[Product]]))</f>
        <v>Laptop</v>
      </c>
      <c r="H651" t="str">
        <f>PROPER(TRIM(Table1[[#This Row],[Region]]))</f>
        <v>West</v>
      </c>
      <c r="I651" s="6">
        <f>Table1[[#This Row],[Sales]]*Table1[[#This Row],[Quantity]]</f>
        <v>78044</v>
      </c>
    </row>
    <row r="652" spans="1:9" x14ac:dyDescent="0.35">
      <c r="A652" t="s">
        <v>651</v>
      </c>
      <c r="B652" s="1">
        <v>45124</v>
      </c>
      <c r="C652" t="s">
        <v>30</v>
      </c>
      <c r="D652" t="s">
        <v>31</v>
      </c>
      <c r="E652" s="6">
        <v>32039</v>
      </c>
      <c r="F652">
        <v>4</v>
      </c>
      <c r="G652" t="str">
        <f>PROPER(TRIM(Table1[[#This Row],[Product]]))</f>
        <v>Monitor</v>
      </c>
      <c r="H652" t="str">
        <f>PROPER(TRIM(Table1[[#This Row],[Region]]))</f>
        <v>West</v>
      </c>
      <c r="I652" s="6">
        <f>Table1[[#This Row],[Sales]]*Table1[[#This Row],[Quantity]]</f>
        <v>128156</v>
      </c>
    </row>
    <row r="653" spans="1:9" x14ac:dyDescent="0.35">
      <c r="A653" t="s">
        <v>652</v>
      </c>
      <c r="B653" s="1">
        <v>45185</v>
      </c>
      <c r="C653" t="s">
        <v>30</v>
      </c>
      <c r="D653" t="s">
        <v>13</v>
      </c>
      <c r="E653" s="6">
        <v>48970</v>
      </c>
      <c r="F653">
        <v>8</v>
      </c>
      <c r="G653" t="str">
        <f>PROPER(TRIM(Table1[[#This Row],[Product]]))</f>
        <v>Laptop</v>
      </c>
      <c r="H653" t="str">
        <f>PROPER(TRIM(Table1[[#This Row],[Region]]))</f>
        <v>West</v>
      </c>
      <c r="I653" s="6">
        <f>Table1[[#This Row],[Sales]]*Table1[[#This Row],[Quantity]]</f>
        <v>391760</v>
      </c>
    </row>
    <row r="654" spans="1:9" x14ac:dyDescent="0.35">
      <c r="A654" t="s">
        <v>653</v>
      </c>
      <c r="B654" s="1">
        <v>44968</v>
      </c>
      <c r="C654" t="s">
        <v>30</v>
      </c>
      <c r="D654" t="s">
        <v>25</v>
      </c>
      <c r="E654" s="6">
        <v>25236</v>
      </c>
      <c r="F654">
        <v>3</v>
      </c>
      <c r="G654" t="str">
        <f>PROPER(TRIM(Table1[[#This Row],[Product]]))</f>
        <v>Tablet</v>
      </c>
      <c r="H654" t="str">
        <f>PROPER(TRIM(Table1[[#This Row],[Region]]))</f>
        <v>West</v>
      </c>
      <c r="I654" s="6">
        <f>Table1[[#This Row],[Sales]]*Table1[[#This Row],[Quantity]]</f>
        <v>75708</v>
      </c>
    </row>
    <row r="655" spans="1:9" x14ac:dyDescent="0.35">
      <c r="A655" t="s">
        <v>654</v>
      </c>
      <c r="B655" s="1">
        <v>45273</v>
      </c>
      <c r="C655" t="s">
        <v>8</v>
      </c>
      <c r="D655" t="s">
        <v>40</v>
      </c>
      <c r="E655" s="6">
        <v>46987</v>
      </c>
      <c r="F655">
        <v>4</v>
      </c>
      <c r="G655" t="str">
        <f>PROPER(TRIM(Table1[[#This Row],[Product]]))</f>
        <v>Headphones</v>
      </c>
      <c r="H655" t="str">
        <f>PROPER(TRIM(Table1[[#This Row],[Region]]))</f>
        <v>North</v>
      </c>
      <c r="I655" s="6">
        <f>Table1[[#This Row],[Sales]]*Table1[[#This Row],[Quantity]]</f>
        <v>187948</v>
      </c>
    </row>
    <row r="656" spans="1:9" x14ac:dyDescent="0.35">
      <c r="A656" t="s">
        <v>655</v>
      </c>
      <c r="B656" s="1">
        <v>45008</v>
      </c>
      <c r="C656" t="s">
        <v>33</v>
      </c>
      <c r="D656" t="s">
        <v>25</v>
      </c>
      <c r="E656" s="6">
        <v>41477</v>
      </c>
      <c r="F656">
        <v>9</v>
      </c>
      <c r="G656" t="str">
        <f>PROPER(TRIM(Table1[[#This Row],[Product]]))</f>
        <v>Tablet</v>
      </c>
      <c r="H656" t="str">
        <f>PROPER(TRIM(Table1[[#This Row],[Region]]))</f>
        <v>South</v>
      </c>
      <c r="I656" s="6">
        <f>Table1[[#This Row],[Sales]]*Table1[[#This Row],[Quantity]]</f>
        <v>373293</v>
      </c>
    </row>
    <row r="657" spans="1:9" x14ac:dyDescent="0.35">
      <c r="A657" t="s">
        <v>656</v>
      </c>
      <c r="B657" s="1">
        <v>45234</v>
      </c>
      <c r="C657" t="s">
        <v>18</v>
      </c>
      <c r="D657" t="s">
        <v>25</v>
      </c>
      <c r="E657" s="6">
        <v>12580</v>
      </c>
      <c r="F657">
        <v>6</v>
      </c>
      <c r="G657" t="str">
        <f>PROPER(TRIM(Table1[[#This Row],[Product]]))</f>
        <v>Tablet</v>
      </c>
      <c r="H657" t="str">
        <f>PROPER(TRIM(Table1[[#This Row],[Region]]))</f>
        <v>East</v>
      </c>
      <c r="I657" s="6">
        <f>Table1[[#This Row],[Sales]]*Table1[[#This Row],[Quantity]]</f>
        <v>75480</v>
      </c>
    </row>
    <row r="658" spans="1:9" x14ac:dyDescent="0.35">
      <c r="A658" t="s">
        <v>657</v>
      </c>
      <c r="B658" s="1">
        <v>45182</v>
      </c>
      <c r="C658" t="s">
        <v>30</v>
      </c>
      <c r="D658" t="s">
        <v>25</v>
      </c>
      <c r="E658" s="6">
        <v>18112</v>
      </c>
      <c r="F658">
        <v>7</v>
      </c>
      <c r="G658" t="str">
        <f>PROPER(TRIM(Table1[[#This Row],[Product]]))</f>
        <v>Tablet</v>
      </c>
      <c r="H658" t="str">
        <f>PROPER(TRIM(Table1[[#This Row],[Region]]))</f>
        <v>West</v>
      </c>
      <c r="I658" s="6">
        <f>Table1[[#This Row],[Sales]]*Table1[[#This Row],[Quantity]]</f>
        <v>126784</v>
      </c>
    </row>
    <row r="659" spans="1:9" x14ac:dyDescent="0.35">
      <c r="A659" t="s">
        <v>658</v>
      </c>
      <c r="B659" s="1">
        <v>45283</v>
      </c>
      <c r="C659" t="s">
        <v>33</v>
      </c>
      <c r="D659" t="s">
        <v>28</v>
      </c>
      <c r="E659" s="6">
        <v>27371</v>
      </c>
      <c r="F659">
        <v>7</v>
      </c>
      <c r="G659" t="str">
        <f>PROPER(TRIM(Table1[[#This Row],[Product]]))</f>
        <v>Phone</v>
      </c>
      <c r="H659" t="str">
        <f>PROPER(TRIM(Table1[[#This Row],[Region]]))</f>
        <v>South</v>
      </c>
      <c r="I659" s="6">
        <f>Table1[[#This Row],[Sales]]*Table1[[#This Row],[Quantity]]</f>
        <v>191597</v>
      </c>
    </row>
    <row r="660" spans="1:9" x14ac:dyDescent="0.35">
      <c r="A660" t="s">
        <v>659</v>
      </c>
      <c r="B660" s="1">
        <v>45254</v>
      </c>
      <c r="C660" t="s">
        <v>33</v>
      </c>
      <c r="D660" t="s">
        <v>40</v>
      </c>
      <c r="E660" s="6">
        <v>1779</v>
      </c>
      <c r="F660">
        <v>5</v>
      </c>
      <c r="G660" t="str">
        <f>PROPER(TRIM(Table1[[#This Row],[Product]]))</f>
        <v>Headphones</v>
      </c>
      <c r="H660" t="str">
        <f>PROPER(TRIM(Table1[[#This Row],[Region]]))</f>
        <v>South</v>
      </c>
      <c r="I660" s="6">
        <f>Table1[[#This Row],[Sales]]*Table1[[#This Row],[Quantity]]</f>
        <v>8895</v>
      </c>
    </row>
    <row r="661" spans="1:9" x14ac:dyDescent="0.35">
      <c r="A661" t="s">
        <v>660</v>
      </c>
      <c r="B661" s="1">
        <v>45225</v>
      </c>
      <c r="C661" t="s">
        <v>30</v>
      </c>
      <c r="D661" t="s">
        <v>31</v>
      </c>
      <c r="E661" s="6">
        <v>18805</v>
      </c>
      <c r="F661">
        <v>9</v>
      </c>
      <c r="G661" t="str">
        <f>PROPER(TRIM(Table1[[#This Row],[Product]]))</f>
        <v>Monitor</v>
      </c>
      <c r="H661" t="str">
        <f>PROPER(TRIM(Table1[[#This Row],[Region]]))</f>
        <v>West</v>
      </c>
      <c r="I661" s="6">
        <f>Table1[[#This Row],[Sales]]*Table1[[#This Row],[Quantity]]</f>
        <v>169245</v>
      </c>
    </row>
    <row r="662" spans="1:9" x14ac:dyDescent="0.35">
      <c r="A662" t="s">
        <v>661</v>
      </c>
      <c r="B662" s="1">
        <v>45147</v>
      </c>
      <c r="C662" t="s">
        <v>33</v>
      </c>
      <c r="D662" t="s">
        <v>25</v>
      </c>
      <c r="E662" s="6">
        <v>45846</v>
      </c>
      <c r="F662">
        <v>7</v>
      </c>
      <c r="G662" t="str">
        <f>PROPER(TRIM(Table1[[#This Row],[Product]]))</f>
        <v>Tablet</v>
      </c>
      <c r="H662" t="str">
        <f>PROPER(TRIM(Table1[[#This Row],[Region]]))</f>
        <v>South</v>
      </c>
      <c r="I662" s="6">
        <f>Table1[[#This Row],[Sales]]*Table1[[#This Row],[Quantity]]</f>
        <v>320922</v>
      </c>
    </row>
    <row r="663" spans="1:9" x14ac:dyDescent="0.35">
      <c r="A663" t="s">
        <v>662</v>
      </c>
      <c r="B663" s="1">
        <v>44929</v>
      </c>
      <c r="C663" t="s">
        <v>18</v>
      </c>
      <c r="D663" t="s">
        <v>31</v>
      </c>
      <c r="E663" s="6">
        <v>428</v>
      </c>
      <c r="F663">
        <v>1</v>
      </c>
      <c r="G663" t="str">
        <f>PROPER(TRIM(Table1[[#This Row],[Product]]))</f>
        <v>Monitor</v>
      </c>
      <c r="H663" t="str">
        <f>PROPER(TRIM(Table1[[#This Row],[Region]]))</f>
        <v>East</v>
      </c>
      <c r="I663" s="6">
        <f>Table1[[#This Row],[Sales]]*Table1[[#This Row],[Quantity]]</f>
        <v>428</v>
      </c>
    </row>
    <row r="664" spans="1:9" x14ac:dyDescent="0.35">
      <c r="A664" t="s">
        <v>663</v>
      </c>
      <c r="B664" s="1">
        <v>44995</v>
      </c>
      <c r="C664" t="s">
        <v>8</v>
      </c>
      <c r="D664" t="s">
        <v>25</v>
      </c>
      <c r="E664" s="6">
        <v>41209</v>
      </c>
      <c r="F664">
        <v>3</v>
      </c>
      <c r="G664" t="str">
        <f>PROPER(TRIM(Table1[[#This Row],[Product]]))</f>
        <v>Tablet</v>
      </c>
      <c r="H664" t="str">
        <f>PROPER(TRIM(Table1[[#This Row],[Region]]))</f>
        <v>North</v>
      </c>
      <c r="I664" s="6">
        <f>Table1[[#This Row],[Sales]]*Table1[[#This Row],[Quantity]]</f>
        <v>123627</v>
      </c>
    </row>
    <row r="665" spans="1:9" x14ac:dyDescent="0.35">
      <c r="A665" t="s">
        <v>664</v>
      </c>
      <c r="B665" s="1">
        <v>45023</v>
      </c>
      <c r="C665" t="s">
        <v>33</v>
      </c>
      <c r="D665" t="s">
        <v>13</v>
      </c>
      <c r="E665" s="6">
        <v>43954</v>
      </c>
      <c r="F665">
        <v>2</v>
      </c>
      <c r="G665" t="str">
        <f>PROPER(TRIM(Table1[[#This Row],[Product]]))</f>
        <v>Laptop</v>
      </c>
      <c r="H665" t="str">
        <f>PROPER(TRIM(Table1[[#This Row],[Region]]))</f>
        <v>South</v>
      </c>
      <c r="I665" s="6">
        <f>Table1[[#This Row],[Sales]]*Table1[[#This Row],[Quantity]]</f>
        <v>87908</v>
      </c>
    </row>
    <row r="666" spans="1:9" x14ac:dyDescent="0.35">
      <c r="A666" t="s">
        <v>665</v>
      </c>
      <c r="B666" s="1">
        <v>45177</v>
      </c>
      <c r="C666" t="s">
        <v>30</v>
      </c>
      <c r="D666" t="s">
        <v>40</v>
      </c>
      <c r="E666" s="6">
        <v>36889</v>
      </c>
      <c r="F666">
        <v>6</v>
      </c>
      <c r="G666" t="str">
        <f>PROPER(TRIM(Table1[[#This Row],[Product]]))</f>
        <v>Headphones</v>
      </c>
      <c r="H666" t="str">
        <f>PROPER(TRIM(Table1[[#This Row],[Region]]))</f>
        <v>West</v>
      </c>
      <c r="I666" s="6">
        <f>Table1[[#This Row],[Sales]]*Table1[[#This Row],[Quantity]]</f>
        <v>221334</v>
      </c>
    </row>
    <row r="667" spans="1:9" x14ac:dyDescent="0.35">
      <c r="A667" t="s">
        <v>666</v>
      </c>
      <c r="B667" s="1">
        <v>45076</v>
      </c>
      <c r="C667" t="s">
        <v>33</v>
      </c>
      <c r="D667" t="s">
        <v>31</v>
      </c>
      <c r="E667" s="6">
        <v>6897</v>
      </c>
      <c r="F667">
        <v>7</v>
      </c>
      <c r="G667" t="str">
        <f>PROPER(TRIM(Table1[[#This Row],[Product]]))</f>
        <v>Monitor</v>
      </c>
      <c r="H667" t="str">
        <f>PROPER(TRIM(Table1[[#This Row],[Region]]))</f>
        <v>South</v>
      </c>
      <c r="I667" s="6">
        <f>Table1[[#This Row],[Sales]]*Table1[[#This Row],[Quantity]]</f>
        <v>48279</v>
      </c>
    </row>
    <row r="668" spans="1:9" x14ac:dyDescent="0.35">
      <c r="A668" t="s">
        <v>667</v>
      </c>
      <c r="B668" s="1">
        <v>44993</v>
      </c>
      <c r="C668" t="s">
        <v>8</v>
      </c>
      <c r="D668" t="s">
        <v>13</v>
      </c>
      <c r="E668" s="6">
        <v>10212</v>
      </c>
      <c r="F668">
        <v>10</v>
      </c>
      <c r="G668" t="str">
        <f>PROPER(TRIM(Table1[[#This Row],[Product]]))</f>
        <v>Laptop</v>
      </c>
      <c r="H668" t="str">
        <f>PROPER(TRIM(Table1[[#This Row],[Region]]))</f>
        <v>North</v>
      </c>
      <c r="I668" s="6">
        <f>Table1[[#This Row],[Sales]]*Table1[[#This Row],[Quantity]]</f>
        <v>102120</v>
      </c>
    </row>
    <row r="669" spans="1:9" x14ac:dyDescent="0.35">
      <c r="A669" t="s">
        <v>668</v>
      </c>
      <c r="B669" s="1">
        <v>45009</v>
      </c>
      <c r="C669" t="s">
        <v>33</v>
      </c>
      <c r="D669" t="s">
        <v>13</v>
      </c>
      <c r="E669" s="6">
        <v>38498</v>
      </c>
      <c r="F669">
        <v>3</v>
      </c>
      <c r="G669" t="str">
        <f>PROPER(TRIM(Table1[[#This Row],[Product]]))</f>
        <v>Laptop</v>
      </c>
      <c r="H669" t="str">
        <f>PROPER(TRIM(Table1[[#This Row],[Region]]))</f>
        <v>South</v>
      </c>
      <c r="I669" s="6">
        <f>Table1[[#This Row],[Sales]]*Table1[[#This Row],[Quantity]]</f>
        <v>115494</v>
      </c>
    </row>
    <row r="670" spans="1:9" x14ac:dyDescent="0.35">
      <c r="A670" t="s">
        <v>669</v>
      </c>
      <c r="B670" s="1">
        <v>44987</v>
      </c>
      <c r="C670" t="s">
        <v>8</v>
      </c>
      <c r="D670" t="s">
        <v>28</v>
      </c>
      <c r="E670" s="6">
        <v>20701</v>
      </c>
      <c r="F670">
        <v>3</v>
      </c>
      <c r="G670" t="str">
        <f>PROPER(TRIM(Table1[[#This Row],[Product]]))</f>
        <v>Phone</v>
      </c>
      <c r="H670" t="str">
        <f>PROPER(TRIM(Table1[[#This Row],[Region]]))</f>
        <v>North</v>
      </c>
      <c r="I670" s="6">
        <f>Table1[[#This Row],[Sales]]*Table1[[#This Row],[Quantity]]</f>
        <v>62103</v>
      </c>
    </row>
    <row r="671" spans="1:9" x14ac:dyDescent="0.35">
      <c r="A671" t="s">
        <v>670</v>
      </c>
      <c r="B671" s="1">
        <v>45137</v>
      </c>
      <c r="C671" t="s">
        <v>30</v>
      </c>
      <c r="D671" t="s">
        <v>40</v>
      </c>
      <c r="E671" s="6">
        <v>16207</v>
      </c>
      <c r="F671">
        <v>3</v>
      </c>
      <c r="G671" t="str">
        <f>PROPER(TRIM(Table1[[#This Row],[Product]]))</f>
        <v>Headphones</v>
      </c>
      <c r="H671" t="str">
        <f>PROPER(TRIM(Table1[[#This Row],[Region]]))</f>
        <v>West</v>
      </c>
      <c r="I671" s="6">
        <f>Table1[[#This Row],[Sales]]*Table1[[#This Row],[Quantity]]</f>
        <v>48621</v>
      </c>
    </row>
    <row r="672" spans="1:9" x14ac:dyDescent="0.35">
      <c r="A672" t="s">
        <v>671</v>
      </c>
      <c r="B672" s="1">
        <v>45244</v>
      </c>
      <c r="C672" t="s">
        <v>8</v>
      </c>
      <c r="D672" t="s">
        <v>28</v>
      </c>
      <c r="E672" s="6">
        <v>23689</v>
      </c>
      <c r="F672">
        <v>3</v>
      </c>
      <c r="G672" t="str">
        <f>PROPER(TRIM(Table1[[#This Row],[Product]]))</f>
        <v>Phone</v>
      </c>
      <c r="H672" t="str">
        <f>PROPER(TRIM(Table1[[#This Row],[Region]]))</f>
        <v>North</v>
      </c>
      <c r="I672" s="6">
        <f>Table1[[#This Row],[Sales]]*Table1[[#This Row],[Quantity]]</f>
        <v>71067</v>
      </c>
    </row>
    <row r="673" spans="1:9" x14ac:dyDescent="0.35">
      <c r="A673" t="s">
        <v>672</v>
      </c>
      <c r="B673" s="1">
        <v>45123</v>
      </c>
      <c r="C673" t="s">
        <v>30</v>
      </c>
      <c r="D673" t="s">
        <v>28</v>
      </c>
      <c r="E673" s="6">
        <v>20710</v>
      </c>
      <c r="F673">
        <v>4</v>
      </c>
      <c r="G673" t="str">
        <f>PROPER(TRIM(Table1[[#This Row],[Product]]))</f>
        <v>Phone</v>
      </c>
      <c r="H673" t="str">
        <f>PROPER(TRIM(Table1[[#This Row],[Region]]))</f>
        <v>West</v>
      </c>
      <c r="I673" s="6">
        <f>Table1[[#This Row],[Sales]]*Table1[[#This Row],[Quantity]]</f>
        <v>82840</v>
      </c>
    </row>
    <row r="674" spans="1:9" x14ac:dyDescent="0.35">
      <c r="A674" t="s">
        <v>673</v>
      </c>
      <c r="B674" s="1">
        <v>45083</v>
      </c>
      <c r="C674" t="s">
        <v>33</v>
      </c>
      <c r="D674" t="s">
        <v>13</v>
      </c>
      <c r="E674" s="6">
        <v>49189</v>
      </c>
      <c r="F674">
        <v>10</v>
      </c>
      <c r="G674" t="str">
        <f>PROPER(TRIM(Table1[[#This Row],[Product]]))</f>
        <v>Laptop</v>
      </c>
      <c r="H674" t="str">
        <f>PROPER(TRIM(Table1[[#This Row],[Region]]))</f>
        <v>South</v>
      </c>
      <c r="I674" s="6">
        <f>Table1[[#This Row],[Sales]]*Table1[[#This Row],[Quantity]]</f>
        <v>491890</v>
      </c>
    </row>
    <row r="675" spans="1:9" x14ac:dyDescent="0.35">
      <c r="A675" t="s">
        <v>674</v>
      </c>
      <c r="B675" s="1">
        <v>44973</v>
      </c>
      <c r="C675" t="s">
        <v>33</v>
      </c>
      <c r="D675" t="s">
        <v>13</v>
      </c>
      <c r="E675" s="6">
        <v>19922</v>
      </c>
      <c r="F675">
        <v>7</v>
      </c>
      <c r="G675" t="str">
        <f>PROPER(TRIM(Table1[[#This Row],[Product]]))</f>
        <v>Laptop</v>
      </c>
      <c r="H675" t="str">
        <f>PROPER(TRIM(Table1[[#This Row],[Region]]))</f>
        <v>South</v>
      </c>
      <c r="I675" s="6">
        <f>Table1[[#This Row],[Sales]]*Table1[[#This Row],[Quantity]]</f>
        <v>139454</v>
      </c>
    </row>
    <row r="676" spans="1:9" x14ac:dyDescent="0.35">
      <c r="A676" t="s">
        <v>675</v>
      </c>
      <c r="B676" s="1">
        <v>45195</v>
      </c>
      <c r="C676" t="s">
        <v>33</v>
      </c>
      <c r="D676" t="s">
        <v>31</v>
      </c>
      <c r="E676" s="6">
        <v>18171</v>
      </c>
      <c r="F676">
        <v>9</v>
      </c>
      <c r="G676" t="str">
        <f>PROPER(TRIM(Table1[[#This Row],[Product]]))</f>
        <v>Monitor</v>
      </c>
      <c r="H676" t="str">
        <f>PROPER(TRIM(Table1[[#This Row],[Region]]))</f>
        <v>South</v>
      </c>
      <c r="I676" s="6">
        <f>Table1[[#This Row],[Sales]]*Table1[[#This Row],[Quantity]]</f>
        <v>163539</v>
      </c>
    </row>
    <row r="677" spans="1:9" x14ac:dyDescent="0.35">
      <c r="A677" t="s">
        <v>676</v>
      </c>
      <c r="B677" s="1">
        <v>45011</v>
      </c>
      <c r="C677" t="s">
        <v>8</v>
      </c>
      <c r="D677" t="s">
        <v>28</v>
      </c>
      <c r="E677" s="6">
        <v>32004</v>
      </c>
      <c r="F677">
        <v>5</v>
      </c>
      <c r="G677" t="str">
        <f>PROPER(TRIM(Table1[[#This Row],[Product]]))</f>
        <v>Phone</v>
      </c>
      <c r="H677" t="str">
        <f>PROPER(TRIM(Table1[[#This Row],[Region]]))</f>
        <v>North</v>
      </c>
      <c r="I677" s="6">
        <f>Table1[[#This Row],[Sales]]*Table1[[#This Row],[Quantity]]</f>
        <v>160020</v>
      </c>
    </row>
    <row r="678" spans="1:9" x14ac:dyDescent="0.35">
      <c r="A678" t="s">
        <v>677</v>
      </c>
      <c r="B678" s="1">
        <v>44937</v>
      </c>
      <c r="C678" t="s">
        <v>30</v>
      </c>
      <c r="D678" t="s">
        <v>25</v>
      </c>
      <c r="E678" s="6">
        <v>29490</v>
      </c>
      <c r="F678">
        <v>8</v>
      </c>
      <c r="G678" t="str">
        <f>PROPER(TRIM(Table1[[#This Row],[Product]]))</f>
        <v>Tablet</v>
      </c>
      <c r="H678" t="str">
        <f>PROPER(TRIM(Table1[[#This Row],[Region]]))</f>
        <v>West</v>
      </c>
      <c r="I678" s="6">
        <f>Table1[[#This Row],[Sales]]*Table1[[#This Row],[Quantity]]</f>
        <v>235920</v>
      </c>
    </row>
    <row r="679" spans="1:9" x14ac:dyDescent="0.35">
      <c r="A679" t="s">
        <v>678</v>
      </c>
      <c r="B679" s="1">
        <v>45020</v>
      </c>
      <c r="C679" t="s">
        <v>33</v>
      </c>
      <c r="D679" t="s">
        <v>28</v>
      </c>
      <c r="E679" s="6">
        <v>23129</v>
      </c>
      <c r="F679">
        <v>6</v>
      </c>
      <c r="G679" t="str">
        <f>PROPER(TRIM(Table1[[#This Row],[Product]]))</f>
        <v>Phone</v>
      </c>
      <c r="H679" t="str">
        <f>PROPER(TRIM(Table1[[#This Row],[Region]]))</f>
        <v>South</v>
      </c>
      <c r="I679" s="6">
        <f>Table1[[#This Row],[Sales]]*Table1[[#This Row],[Quantity]]</f>
        <v>138774</v>
      </c>
    </row>
    <row r="680" spans="1:9" x14ac:dyDescent="0.35">
      <c r="A680" t="s">
        <v>678</v>
      </c>
      <c r="B680" s="1">
        <v>45020</v>
      </c>
      <c r="C680" t="s">
        <v>33</v>
      </c>
      <c r="D680" t="s">
        <v>28</v>
      </c>
      <c r="E680" s="6">
        <v>23129</v>
      </c>
      <c r="F680">
        <v>6</v>
      </c>
      <c r="G680" t="str">
        <f>PROPER(TRIM(Table1[[#This Row],[Product]]))</f>
        <v>Phone</v>
      </c>
      <c r="H680" t="str">
        <f>PROPER(TRIM(Table1[[#This Row],[Region]]))</f>
        <v>South</v>
      </c>
      <c r="I680" s="6">
        <f>Table1[[#This Row],[Sales]]*Table1[[#This Row],[Quantity]]</f>
        <v>138774</v>
      </c>
    </row>
    <row r="681" spans="1:9" x14ac:dyDescent="0.35">
      <c r="A681" t="s">
        <v>679</v>
      </c>
      <c r="B681" s="1">
        <v>45218</v>
      </c>
      <c r="C681" t="s">
        <v>18</v>
      </c>
      <c r="D681" t="s">
        <v>31</v>
      </c>
      <c r="E681" s="6">
        <v>24202</v>
      </c>
      <c r="F681">
        <v>6</v>
      </c>
      <c r="G681" t="str">
        <f>PROPER(TRIM(Table1[[#This Row],[Product]]))</f>
        <v>Monitor</v>
      </c>
      <c r="H681" t="str">
        <f>PROPER(TRIM(Table1[[#This Row],[Region]]))</f>
        <v>East</v>
      </c>
      <c r="I681" s="6">
        <f>Table1[[#This Row],[Sales]]*Table1[[#This Row],[Quantity]]</f>
        <v>145212</v>
      </c>
    </row>
    <row r="682" spans="1:9" x14ac:dyDescent="0.35">
      <c r="A682" t="s">
        <v>680</v>
      </c>
      <c r="B682" s="1">
        <v>45113</v>
      </c>
      <c r="C682" t="s">
        <v>8</v>
      </c>
      <c r="D682" t="s">
        <v>13</v>
      </c>
      <c r="E682" s="6">
        <v>38540</v>
      </c>
      <c r="F682">
        <v>4</v>
      </c>
      <c r="G682" t="str">
        <f>PROPER(TRIM(Table1[[#This Row],[Product]]))</f>
        <v>Laptop</v>
      </c>
      <c r="H682" t="str">
        <f>PROPER(TRIM(Table1[[#This Row],[Region]]))</f>
        <v>North</v>
      </c>
      <c r="I682" s="6">
        <f>Table1[[#This Row],[Sales]]*Table1[[#This Row],[Quantity]]</f>
        <v>154160</v>
      </c>
    </row>
    <row r="683" spans="1:9" x14ac:dyDescent="0.35">
      <c r="A683" t="s">
        <v>681</v>
      </c>
      <c r="B683" s="1">
        <v>44954</v>
      </c>
      <c r="C683" t="s">
        <v>33</v>
      </c>
      <c r="D683" t="s">
        <v>25</v>
      </c>
      <c r="E683" s="6">
        <v>48156</v>
      </c>
      <c r="F683">
        <v>5</v>
      </c>
      <c r="G683" t="str">
        <f>PROPER(TRIM(Table1[[#This Row],[Product]]))</f>
        <v>Tablet</v>
      </c>
      <c r="H683" t="str">
        <f>PROPER(TRIM(Table1[[#This Row],[Region]]))</f>
        <v>South</v>
      </c>
      <c r="I683" s="6">
        <f>Table1[[#This Row],[Sales]]*Table1[[#This Row],[Quantity]]</f>
        <v>240780</v>
      </c>
    </row>
    <row r="684" spans="1:9" x14ac:dyDescent="0.35">
      <c r="A684" t="s">
        <v>682</v>
      </c>
      <c r="B684" s="1">
        <v>44994</v>
      </c>
      <c r="C684" t="s">
        <v>8</v>
      </c>
      <c r="D684" t="s">
        <v>25</v>
      </c>
      <c r="E684" s="6">
        <v>23753</v>
      </c>
      <c r="F684">
        <v>6</v>
      </c>
      <c r="G684" t="str">
        <f>PROPER(TRIM(Table1[[#This Row],[Product]]))</f>
        <v>Tablet</v>
      </c>
      <c r="H684" t="str">
        <f>PROPER(TRIM(Table1[[#This Row],[Region]]))</f>
        <v>North</v>
      </c>
      <c r="I684" s="6">
        <f>Table1[[#This Row],[Sales]]*Table1[[#This Row],[Quantity]]</f>
        <v>142518</v>
      </c>
    </row>
    <row r="685" spans="1:9" x14ac:dyDescent="0.35">
      <c r="A685" t="s">
        <v>683</v>
      </c>
      <c r="B685" s="1">
        <v>45127</v>
      </c>
      <c r="C685" t="s">
        <v>18</v>
      </c>
      <c r="D685" t="s">
        <v>13</v>
      </c>
      <c r="E685" s="6">
        <v>49453</v>
      </c>
      <c r="F685">
        <v>10</v>
      </c>
      <c r="G685" t="str">
        <f>PROPER(TRIM(Table1[[#This Row],[Product]]))</f>
        <v>Laptop</v>
      </c>
      <c r="H685" t="str">
        <f>PROPER(TRIM(Table1[[#This Row],[Region]]))</f>
        <v>East</v>
      </c>
      <c r="I685" s="6">
        <f>Table1[[#This Row],[Sales]]*Table1[[#This Row],[Quantity]]</f>
        <v>494530</v>
      </c>
    </row>
    <row r="686" spans="1:9" x14ac:dyDescent="0.35">
      <c r="A686" t="s">
        <v>684</v>
      </c>
      <c r="B686" s="1">
        <v>45286</v>
      </c>
      <c r="C686" t="s">
        <v>33</v>
      </c>
      <c r="D686" t="s">
        <v>25</v>
      </c>
      <c r="E686" s="6">
        <v>25281</v>
      </c>
      <c r="F686">
        <v>10</v>
      </c>
      <c r="G686" t="str">
        <f>PROPER(TRIM(Table1[[#This Row],[Product]]))</f>
        <v>Tablet</v>
      </c>
      <c r="H686" t="str">
        <f>PROPER(TRIM(Table1[[#This Row],[Region]]))</f>
        <v>South</v>
      </c>
      <c r="I686" s="6">
        <f>Table1[[#This Row],[Sales]]*Table1[[#This Row],[Quantity]]</f>
        <v>252810</v>
      </c>
    </row>
    <row r="687" spans="1:9" x14ac:dyDescent="0.35">
      <c r="A687" t="s">
        <v>685</v>
      </c>
      <c r="B687" s="1">
        <v>45047</v>
      </c>
      <c r="C687" t="s">
        <v>30</v>
      </c>
      <c r="D687" t="s">
        <v>25</v>
      </c>
      <c r="E687" s="6">
        <v>4931</v>
      </c>
      <c r="F687">
        <v>10</v>
      </c>
      <c r="G687" t="str">
        <f>PROPER(TRIM(Table1[[#This Row],[Product]]))</f>
        <v>Tablet</v>
      </c>
      <c r="H687" t="str">
        <f>PROPER(TRIM(Table1[[#This Row],[Region]]))</f>
        <v>West</v>
      </c>
      <c r="I687" s="6">
        <f>Table1[[#This Row],[Sales]]*Table1[[#This Row],[Quantity]]</f>
        <v>49310</v>
      </c>
    </row>
    <row r="688" spans="1:9" x14ac:dyDescent="0.35">
      <c r="A688" t="s">
        <v>686</v>
      </c>
      <c r="B688" s="1">
        <v>45282</v>
      </c>
      <c r="C688" t="s">
        <v>33</v>
      </c>
      <c r="D688" t="s">
        <v>40</v>
      </c>
      <c r="E688" s="6">
        <v>20287</v>
      </c>
      <c r="F688">
        <v>3</v>
      </c>
      <c r="G688" t="str">
        <f>PROPER(TRIM(Table1[[#This Row],[Product]]))</f>
        <v>Headphones</v>
      </c>
      <c r="H688" t="str">
        <f>PROPER(TRIM(Table1[[#This Row],[Region]]))</f>
        <v>South</v>
      </c>
      <c r="I688" s="6">
        <f>Table1[[#This Row],[Sales]]*Table1[[#This Row],[Quantity]]</f>
        <v>60861</v>
      </c>
    </row>
    <row r="689" spans="1:9" x14ac:dyDescent="0.35">
      <c r="A689" t="s">
        <v>687</v>
      </c>
      <c r="B689" s="1">
        <v>45237</v>
      </c>
      <c r="C689" t="s">
        <v>18</v>
      </c>
      <c r="D689" t="s">
        <v>28</v>
      </c>
      <c r="E689" s="6">
        <v>743</v>
      </c>
      <c r="F689">
        <v>8</v>
      </c>
      <c r="G689" t="str">
        <f>PROPER(TRIM(Table1[[#This Row],[Product]]))</f>
        <v>Phone</v>
      </c>
      <c r="H689" t="str">
        <f>PROPER(TRIM(Table1[[#This Row],[Region]]))</f>
        <v>East</v>
      </c>
      <c r="I689" s="6">
        <f>Table1[[#This Row],[Sales]]*Table1[[#This Row],[Quantity]]</f>
        <v>5944</v>
      </c>
    </row>
    <row r="690" spans="1:9" x14ac:dyDescent="0.35">
      <c r="A690" t="s">
        <v>688</v>
      </c>
      <c r="B690" s="1">
        <v>44992</v>
      </c>
      <c r="C690" t="s">
        <v>8</v>
      </c>
      <c r="D690" t="s">
        <v>25</v>
      </c>
      <c r="E690" s="6">
        <v>46545</v>
      </c>
      <c r="F690">
        <v>8</v>
      </c>
      <c r="G690" t="str">
        <f>PROPER(TRIM(Table1[[#This Row],[Product]]))</f>
        <v>Tablet</v>
      </c>
      <c r="H690" t="str">
        <f>PROPER(TRIM(Table1[[#This Row],[Region]]))</f>
        <v>North</v>
      </c>
      <c r="I690" s="6">
        <f>Table1[[#This Row],[Sales]]*Table1[[#This Row],[Quantity]]</f>
        <v>372360</v>
      </c>
    </row>
    <row r="691" spans="1:9" x14ac:dyDescent="0.35">
      <c r="A691" t="s">
        <v>689</v>
      </c>
      <c r="B691" s="1">
        <v>45068</v>
      </c>
      <c r="C691" t="s">
        <v>18</v>
      </c>
      <c r="D691" t="s">
        <v>28</v>
      </c>
      <c r="E691" s="6">
        <v>7367</v>
      </c>
      <c r="F691">
        <v>4</v>
      </c>
      <c r="G691" t="str">
        <f>PROPER(TRIM(Table1[[#This Row],[Product]]))</f>
        <v>Phone</v>
      </c>
      <c r="H691" t="str">
        <f>PROPER(TRIM(Table1[[#This Row],[Region]]))</f>
        <v>East</v>
      </c>
      <c r="I691" s="6">
        <f>Table1[[#This Row],[Sales]]*Table1[[#This Row],[Quantity]]</f>
        <v>29468</v>
      </c>
    </row>
    <row r="692" spans="1:9" x14ac:dyDescent="0.35">
      <c r="A692" t="s">
        <v>690</v>
      </c>
      <c r="B692" s="1">
        <v>45250</v>
      </c>
      <c r="C692" t="s">
        <v>18</v>
      </c>
      <c r="D692" t="s">
        <v>28</v>
      </c>
      <c r="E692" s="6">
        <v>46194</v>
      </c>
      <c r="F692">
        <v>2</v>
      </c>
      <c r="G692" t="str">
        <f>PROPER(TRIM(Table1[[#This Row],[Product]]))</f>
        <v>Phone</v>
      </c>
      <c r="H692" t="str">
        <f>PROPER(TRIM(Table1[[#This Row],[Region]]))</f>
        <v>East</v>
      </c>
      <c r="I692" s="6">
        <f>Table1[[#This Row],[Sales]]*Table1[[#This Row],[Quantity]]</f>
        <v>92388</v>
      </c>
    </row>
    <row r="693" spans="1:9" x14ac:dyDescent="0.35">
      <c r="A693" t="s">
        <v>691</v>
      </c>
      <c r="B693" s="1">
        <v>45291</v>
      </c>
      <c r="C693" t="s">
        <v>18</v>
      </c>
      <c r="D693" t="s">
        <v>13</v>
      </c>
      <c r="E693" s="6">
        <v>25166</v>
      </c>
      <c r="F693">
        <v>6</v>
      </c>
      <c r="G693" t="str">
        <f>PROPER(TRIM(Table1[[#This Row],[Product]]))</f>
        <v>Laptop</v>
      </c>
      <c r="H693" t="str">
        <f>PROPER(TRIM(Table1[[#This Row],[Region]]))</f>
        <v>East</v>
      </c>
      <c r="I693" s="6">
        <f>Table1[[#This Row],[Sales]]*Table1[[#This Row],[Quantity]]</f>
        <v>150996</v>
      </c>
    </row>
    <row r="694" spans="1:9" x14ac:dyDescent="0.35">
      <c r="A694" t="s">
        <v>692</v>
      </c>
      <c r="B694" s="1">
        <v>44984</v>
      </c>
      <c r="C694" t="s">
        <v>18</v>
      </c>
      <c r="D694" t="s">
        <v>28</v>
      </c>
      <c r="E694" s="6">
        <v>9508</v>
      </c>
      <c r="F694">
        <v>2</v>
      </c>
      <c r="G694" t="str">
        <f>PROPER(TRIM(Table1[[#This Row],[Product]]))</f>
        <v>Phone</v>
      </c>
      <c r="H694" t="str">
        <f>PROPER(TRIM(Table1[[#This Row],[Region]]))</f>
        <v>East</v>
      </c>
      <c r="I694" s="6">
        <f>Table1[[#This Row],[Sales]]*Table1[[#This Row],[Quantity]]</f>
        <v>19016</v>
      </c>
    </row>
    <row r="695" spans="1:9" x14ac:dyDescent="0.35">
      <c r="A695" t="s">
        <v>693</v>
      </c>
      <c r="B695" s="1">
        <v>45243</v>
      </c>
      <c r="C695" t="s">
        <v>30</v>
      </c>
      <c r="D695" t="s">
        <v>25</v>
      </c>
      <c r="E695" s="6">
        <v>23054</v>
      </c>
      <c r="F695">
        <v>2</v>
      </c>
      <c r="G695" t="str">
        <f>PROPER(TRIM(Table1[[#This Row],[Product]]))</f>
        <v>Tablet</v>
      </c>
      <c r="H695" t="str">
        <f>PROPER(TRIM(Table1[[#This Row],[Region]]))</f>
        <v>West</v>
      </c>
      <c r="I695" s="6">
        <f>Table1[[#This Row],[Sales]]*Table1[[#This Row],[Quantity]]</f>
        <v>46108</v>
      </c>
    </row>
    <row r="696" spans="1:9" x14ac:dyDescent="0.35">
      <c r="A696" t="s">
        <v>694</v>
      </c>
      <c r="B696" s="1">
        <v>44936</v>
      </c>
      <c r="C696" t="s">
        <v>30</v>
      </c>
      <c r="D696" t="s">
        <v>31</v>
      </c>
      <c r="E696" s="6">
        <v>24516</v>
      </c>
      <c r="F696">
        <v>8</v>
      </c>
      <c r="G696" t="str">
        <f>PROPER(TRIM(Table1[[#This Row],[Product]]))</f>
        <v>Monitor</v>
      </c>
      <c r="H696" t="str">
        <f>PROPER(TRIM(Table1[[#This Row],[Region]]))</f>
        <v>West</v>
      </c>
      <c r="I696" s="6">
        <f>Table1[[#This Row],[Sales]]*Table1[[#This Row],[Quantity]]</f>
        <v>196128</v>
      </c>
    </row>
    <row r="697" spans="1:9" x14ac:dyDescent="0.35">
      <c r="A697" t="s">
        <v>694</v>
      </c>
      <c r="B697" s="1">
        <v>44936</v>
      </c>
      <c r="C697" t="s">
        <v>30</v>
      </c>
      <c r="D697" t="s">
        <v>31</v>
      </c>
      <c r="E697" s="6">
        <v>24516</v>
      </c>
      <c r="F697">
        <v>8</v>
      </c>
      <c r="G697" t="str">
        <f>PROPER(TRIM(Table1[[#This Row],[Product]]))</f>
        <v>Monitor</v>
      </c>
      <c r="H697" t="str">
        <f>PROPER(TRIM(Table1[[#This Row],[Region]]))</f>
        <v>West</v>
      </c>
      <c r="I697" s="6">
        <f>Table1[[#This Row],[Sales]]*Table1[[#This Row],[Quantity]]</f>
        <v>196128</v>
      </c>
    </row>
    <row r="698" spans="1:9" x14ac:dyDescent="0.35">
      <c r="A698" t="s">
        <v>695</v>
      </c>
      <c r="B698" s="1">
        <v>45259</v>
      </c>
      <c r="C698" t="s">
        <v>18</v>
      </c>
      <c r="D698" t="s">
        <v>25</v>
      </c>
      <c r="E698" s="6">
        <v>38772</v>
      </c>
      <c r="F698">
        <v>5</v>
      </c>
      <c r="G698" t="str">
        <f>PROPER(TRIM(Table1[[#This Row],[Product]]))</f>
        <v>Tablet</v>
      </c>
      <c r="H698" t="str">
        <f>PROPER(TRIM(Table1[[#This Row],[Region]]))</f>
        <v>East</v>
      </c>
      <c r="I698" s="6">
        <f>Table1[[#This Row],[Sales]]*Table1[[#This Row],[Quantity]]</f>
        <v>193860</v>
      </c>
    </row>
    <row r="699" spans="1:9" x14ac:dyDescent="0.35">
      <c r="A699" t="s">
        <v>696</v>
      </c>
      <c r="B699" s="1">
        <v>45220</v>
      </c>
      <c r="C699" t="s">
        <v>18</v>
      </c>
      <c r="D699" t="s">
        <v>40</v>
      </c>
      <c r="E699" s="6">
        <v>42784</v>
      </c>
      <c r="F699">
        <v>6</v>
      </c>
      <c r="G699" t="str">
        <f>PROPER(TRIM(Table1[[#This Row],[Product]]))</f>
        <v>Headphones</v>
      </c>
      <c r="H699" t="str">
        <f>PROPER(TRIM(Table1[[#This Row],[Region]]))</f>
        <v>East</v>
      </c>
      <c r="I699" s="6">
        <f>Table1[[#This Row],[Sales]]*Table1[[#This Row],[Quantity]]</f>
        <v>256704</v>
      </c>
    </row>
    <row r="700" spans="1:9" x14ac:dyDescent="0.35">
      <c r="A700" t="s">
        <v>697</v>
      </c>
      <c r="B700" s="1">
        <v>45241</v>
      </c>
      <c r="C700" t="s">
        <v>30</v>
      </c>
      <c r="D700" t="s">
        <v>31</v>
      </c>
      <c r="E700" s="6">
        <v>41770</v>
      </c>
      <c r="F700">
        <v>8</v>
      </c>
      <c r="G700" t="str">
        <f>PROPER(TRIM(Table1[[#This Row],[Product]]))</f>
        <v>Monitor</v>
      </c>
      <c r="H700" t="str">
        <f>PROPER(TRIM(Table1[[#This Row],[Region]]))</f>
        <v>West</v>
      </c>
      <c r="I700" s="6">
        <f>Table1[[#This Row],[Sales]]*Table1[[#This Row],[Quantity]]</f>
        <v>334160</v>
      </c>
    </row>
    <row r="701" spans="1:9" x14ac:dyDescent="0.35">
      <c r="A701" t="s">
        <v>698</v>
      </c>
      <c r="B701" s="1">
        <v>45132</v>
      </c>
      <c r="C701" t="s">
        <v>30</v>
      </c>
      <c r="D701" t="s">
        <v>40</v>
      </c>
      <c r="E701" s="6">
        <v>31075</v>
      </c>
      <c r="F701">
        <v>5</v>
      </c>
      <c r="G701" t="str">
        <f>PROPER(TRIM(Table1[[#This Row],[Product]]))</f>
        <v>Headphones</v>
      </c>
      <c r="H701" t="str">
        <f>PROPER(TRIM(Table1[[#This Row],[Region]]))</f>
        <v>West</v>
      </c>
      <c r="I701" s="6">
        <f>Table1[[#This Row],[Sales]]*Table1[[#This Row],[Quantity]]</f>
        <v>155375</v>
      </c>
    </row>
    <row r="702" spans="1:9" x14ac:dyDescent="0.35">
      <c r="A702" t="s">
        <v>699</v>
      </c>
      <c r="B702" s="1">
        <v>45162</v>
      </c>
      <c r="C702" t="s">
        <v>8</v>
      </c>
      <c r="D702" t="s">
        <v>13</v>
      </c>
      <c r="E702" s="6">
        <v>19942</v>
      </c>
      <c r="F702">
        <v>10</v>
      </c>
      <c r="G702" t="str">
        <f>PROPER(TRIM(Table1[[#This Row],[Product]]))</f>
        <v>Laptop</v>
      </c>
      <c r="H702" t="str">
        <f>PROPER(TRIM(Table1[[#This Row],[Region]]))</f>
        <v>North</v>
      </c>
      <c r="I702" s="6">
        <f>Table1[[#This Row],[Sales]]*Table1[[#This Row],[Quantity]]</f>
        <v>199420</v>
      </c>
    </row>
    <row r="703" spans="1:9" x14ac:dyDescent="0.35">
      <c r="A703" t="s">
        <v>700</v>
      </c>
      <c r="B703" s="1">
        <v>45105</v>
      </c>
      <c r="C703" t="s">
        <v>30</v>
      </c>
      <c r="D703" t="s">
        <v>25</v>
      </c>
      <c r="E703" s="6">
        <v>10219</v>
      </c>
      <c r="F703">
        <v>2</v>
      </c>
      <c r="G703" t="str">
        <f>PROPER(TRIM(Table1[[#This Row],[Product]]))</f>
        <v>Tablet</v>
      </c>
      <c r="H703" t="str">
        <f>PROPER(TRIM(Table1[[#This Row],[Region]]))</f>
        <v>West</v>
      </c>
      <c r="I703" s="6">
        <f>Table1[[#This Row],[Sales]]*Table1[[#This Row],[Quantity]]</f>
        <v>20438</v>
      </c>
    </row>
    <row r="704" spans="1:9" x14ac:dyDescent="0.35">
      <c r="A704" t="s">
        <v>701</v>
      </c>
      <c r="B704" s="1">
        <v>45088</v>
      </c>
      <c r="C704" t="s">
        <v>33</v>
      </c>
      <c r="D704" t="s">
        <v>31</v>
      </c>
      <c r="E704" s="6">
        <v>42597</v>
      </c>
      <c r="F704">
        <v>3</v>
      </c>
      <c r="G704" t="str">
        <f>PROPER(TRIM(Table1[[#This Row],[Product]]))</f>
        <v>Monitor</v>
      </c>
      <c r="H704" t="str">
        <f>PROPER(TRIM(Table1[[#This Row],[Region]]))</f>
        <v>South</v>
      </c>
      <c r="I704" s="6">
        <f>Table1[[#This Row],[Sales]]*Table1[[#This Row],[Quantity]]</f>
        <v>127791</v>
      </c>
    </row>
    <row r="705" spans="1:9" x14ac:dyDescent="0.35">
      <c r="A705" t="s">
        <v>702</v>
      </c>
      <c r="B705" s="1">
        <v>45264</v>
      </c>
      <c r="C705" t="s">
        <v>33</v>
      </c>
      <c r="D705" t="s">
        <v>40</v>
      </c>
      <c r="E705" s="6">
        <v>24073</v>
      </c>
      <c r="F705">
        <v>10</v>
      </c>
      <c r="G705" t="str">
        <f>PROPER(TRIM(Table1[[#This Row],[Product]]))</f>
        <v>Headphones</v>
      </c>
      <c r="H705" t="str">
        <f>PROPER(TRIM(Table1[[#This Row],[Region]]))</f>
        <v>South</v>
      </c>
      <c r="I705" s="6">
        <f>Table1[[#This Row],[Sales]]*Table1[[#This Row],[Quantity]]</f>
        <v>240730</v>
      </c>
    </row>
    <row r="706" spans="1:9" x14ac:dyDescent="0.35">
      <c r="A706" t="s">
        <v>703</v>
      </c>
      <c r="B706" s="1">
        <v>45173</v>
      </c>
      <c r="C706" t="s">
        <v>18</v>
      </c>
      <c r="D706" t="s">
        <v>31</v>
      </c>
      <c r="E706" s="6">
        <v>37964</v>
      </c>
      <c r="F706">
        <v>1</v>
      </c>
      <c r="G706" t="str">
        <f>PROPER(TRIM(Table1[[#This Row],[Product]]))</f>
        <v>Monitor</v>
      </c>
      <c r="H706" t="str">
        <f>PROPER(TRIM(Table1[[#This Row],[Region]]))</f>
        <v>East</v>
      </c>
      <c r="I706" s="6">
        <f>Table1[[#This Row],[Sales]]*Table1[[#This Row],[Quantity]]</f>
        <v>37964</v>
      </c>
    </row>
    <row r="707" spans="1:9" x14ac:dyDescent="0.35">
      <c r="A707" t="s">
        <v>704</v>
      </c>
      <c r="B707" s="1">
        <v>45226</v>
      </c>
      <c r="C707" t="s">
        <v>30</v>
      </c>
      <c r="D707" t="s">
        <v>31</v>
      </c>
      <c r="E707" s="6">
        <v>47736</v>
      </c>
      <c r="F707">
        <v>3</v>
      </c>
      <c r="G707" t="str">
        <f>PROPER(TRIM(Table1[[#This Row],[Product]]))</f>
        <v>Monitor</v>
      </c>
      <c r="H707" t="str">
        <f>PROPER(TRIM(Table1[[#This Row],[Region]]))</f>
        <v>West</v>
      </c>
      <c r="I707" s="6">
        <f>Table1[[#This Row],[Sales]]*Table1[[#This Row],[Quantity]]</f>
        <v>143208</v>
      </c>
    </row>
    <row r="708" spans="1:9" x14ac:dyDescent="0.35">
      <c r="A708" t="s">
        <v>705</v>
      </c>
      <c r="B708" s="1">
        <v>45117</v>
      </c>
      <c r="C708" t="s">
        <v>8</v>
      </c>
      <c r="D708" t="s">
        <v>13</v>
      </c>
      <c r="E708" s="6">
        <v>16353</v>
      </c>
      <c r="F708">
        <v>9</v>
      </c>
      <c r="G708" t="str">
        <f>PROPER(TRIM(Table1[[#This Row],[Product]]))</f>
        <v>Laptop</v>
      </c>
      <c r="H708" t="str">
        <f>PROPER(TRIM(Table1[[#This Row],[Region]]))</f>
        <v>North</v>
      </c>
      <c r="I708" s="6">
        <f>Table1[[#This Row],[Sales]]*Table1[[#This Row],[Quantity]]</f>
        <v>147177</v>
      </c>
    </row>
    <row r="709" spans="1:9" x14ac:dyDescent="0.35">
      <c r="A709" t="s">
        <v>706</v>
      </c>
      <c r="B709" s="1">
        <v>45258</v>
      </c>
      <c r="C709" t="s">
        <v>33</v>
      </c>
      <c r="D709" t="s">
        <v>28</v>
      </c>
      <c r="E709" s="6">
        <v>8625</v>
      </c>
      <c r="F709">
        <v>6</v>
      </c>
      <c r="G709" t="str">
        <f>PROPER(TRIM(Table1[[#This Row],[Product]]))</f>
        <v>Phone</v>
      </c>
      <c r="H709" t="str">
        <f>PROPER(TRIM(Table1[[#This Row],[Region]]))</f>
        <v>South</v>
      </c>
      <c r="I709" s="6">
        <f>Table1[[#This Row],[Sales]]*Table1[[#This Row],[Quantity]]</f>
        <v>51750</v>
      </c>
    </row>
    <row r="710" spans="1:9" x14ac:dyDescent="0.35">
      <c r="A710" t="s">
        <v>707</v>
      </c>
      <c r="B710" s="1">
        <v>45285</v>
      </c>
      <c r="C710" t="s">
        <v>18</v>
      </c>
      <c r="D710" t="s">
        <v>31</v>
      </c>
      <c r="E710" s="6">
        <v>20725</v>
      </c>
      <c r="F710">
        <v>9</v>
      </c>
      <c r="G710" t="str">
        <f>PROPER(TRIM(Table1[[#This Row],[Product]]))</f>
        <v>Monitor</v>
      </c>
      <c r="H710" t="str">
        <f>PROPER(TRIM(Table1[[#This Row],[Region]]))</f>
        <v>East</v>
      </c>
      <c r="I710" s="6">
        <f>Table1[[#This Row],[Sales]]*Table1[[#This Row],[Quantity]]</f>
        <v>186525</v>
      </c>
    </row>
    <row r="711" spans="1:9" x14ac:dyDescent="0.35">
      <c r="A711" t="s">
        <v>708</v>
      </c>
      <c r="B711" s="1">
        <v>45060</v>
      </c>
      <c r="C711" t="s">
        <v>8</v>
      </c>
      <c r="D711" t="s">
        <v>25</v>
      </c>
      <c r="E711" s="6">
        <v>15131</v>
      </c>
      <c r="F711">
        <v>1</v>
      </c>
      <c r="G711" t="str">
        <f>PROPER(TRIM(Table1[[#This Row],[Product]]))</f>
        <v>Tablet</v>
      </c>
      <c r="H711" t="str">
        <f>PROPER(TRIM(Table1[[#This Row],[Region]]))</f>
        <v>North</v>
      </c>
      <c r="I711" s="6">
        <f>Table1[[#This Row],[Sales]]*Table1[[#This Row],[Quantity]]</f>
        <v>15131</v>
      </c>
    </row>
    <row r="712" spans="1:9" x14ac:dyDescent="0.35">
      <c r="A712" t="s">
        <v>709</v>
      </c>
      <c r="B712" s="1">
        <v>45061</v>
      </c>
      <c r="C712" t="s">
        <v>18</v>
      </c>
      <c r="D712" t="s">
        <v>13</v>
      </c>
      <c r="E712" s="6">
        <v>39528</v>
      </c>
      <c r="F712">
        <v>10</v>
      </c>
      <c r="G712" t="str">
        <f>PROPER(TRIM(Table1[[#This Row],[Product]]))</f>
        <v>Laptop</v>
      </c>
      <c r="H712" t="str">
        <f>PROPER(TRIM(Table1[[#This Row],[Region]]))</f>
        <v>East</v>
      </c>
      <c r="I712" s="6">
        <f>Table1[[#This Row],[Sales]]*Table1[[#This Row],[Quantity]]</f>
        <v>395280</v>
      </c>
    </row>
    <row r="713" spans="1:9" x14ac:dyDescent="0.35">
      <c r="A713" t="s">
        <v>710</v>
      </c>
      <c r="B713" s="1">
        <v>45099</v>
      </c>
      <c r="C713" t="s">
        <v>18</v>
      </c>
      <c r="D713" t="s">
        <v>28</v>
      </c>
      <c r="E713" s="6">
        <v>45312</v>
      </c>
      <c r="F713">
        <v>2</v>
      </c>
      <c r="G713" t="str">
        <f>PROPER(TRIM(Table1[[#This Row],[Product]]))</f>
        <v>Phone</v>
      </c>
      <c r="H713" t="str">
        <f>PROPER(TRIM(Table1[[#This Row],[Region]]))</f>
        <v>East</v>
      </c>
      <c r="I713" s="6">
        <f>Table1[[#This Row],[Sales]]*Table1[[#This Row],[Quantity]]</f>
        <v>90624</v>
      </c>
    </row>
    <row r="714" spans="1:9" x14ac:dyDescent="0.35">
      <c r="A714" t="s">
        <v>711</v>
      </c>
      <c r="B714" s="1">
        <v>45216</v>
      </c>
      <c r="C714" t="s">
        <v>18</v>
      </c>
      <c r="D714" t="s">
        <v>31</v>
      </c>
      <c r="E714" s="6">
        <v>868</v>
      </c>
      <c r="F714">
        <v>7</v>
      </c>
      <c r="G714" t="str">
        <f>PROPER(TRIM(Table1[[#This Row],[Product]]))</f>
        <v>Monitor</v>
      </c>
      <c r="H714" t="str">
        <f>PROPER(TRIM(Table1[[#This Row],[Region]]))</f>
        <v>East</v>
      </c>
      <c r="I714" s="6">
        <f>Table1[[#This Row],[Sales]]*Table1[[#This Row],[Quantity]]</f>
        <v>6076</v>
      </c>
    </row>
    <row r="715" spans="1:9" x14ac:dyDescent="0.35">
      <c r="A715" t="s">
        <v>712</v>
      </c>
      <c r="B715" s="1">
        <v>45042</v>
      </c>
      <c r="C715" t="s">
        <v>8</v>
      </c>
      <c r="D715" t="s">
        <v>25</v>
      </c>
      <c r="E715" s="6">
        <v>19441</v>
      </c>
      <c r="F715">
        <v>10</v>
      </c>
      <c r="G715" t="str">
        <f>PROPER(TRIM(Table1[[#This Row],[Product]]))</f>
        <v>Tablet</v>
      </c>
      <c r="H715" t="str">
        <f>PROPER(TRIM(Table1[[#This Row],[Region]]))</f>
        <v>North</v>
      </c>
      <c r="I715" s="6">
        <f>Table1[[#This Row],[Sales]]*Table1[[#This Row],[Quantity]]</f>
        <v>194410</v>
      </c>
    </row>
    <row r="716" spans="1:9" x14ac:dyDescent="0.35">
      <c r="A716" t="s">
        <v>713</v>
      </c>
      <c r="B716" s="1">
        <v>44952</v>
      </c>
      <c r="C716" t="s">
        <v>30</v>
      </c>
      <c r="D716" t="s">
        <v>40</v>
      </c>
      <c r="E716" s="6">
        <v>40692</v>
      </c>
      <c r="F716">
        <v>4</v>
      </c>
      <c r="G716" t="str">
        <f>PROPER(TRIM(Table1[[#This Row],[Product]]))</f>
        <v>Headphones</v>
      </c>
      <c r="H716" t="str">
        <f>PROPER(TRIM(Table1[[#This Row],[Region]]))</f>
        <v>West</v>
      </c>
      <c r="I716" s="6">
        <f>Table1[[#This Row],[Sales]]*Table1[[#This Row],[Quantity]]</f>
        <v>162768</v>
      </c>
    </row>
    <row r="717" spans="1:9" x14ac:dyDescent="0.35">
      <c r="A717" t="s">
        <v>714</v>
      </c>
      <c r="B717" s="1">
        <v>45186</v>
      </c>
      <c r="C717" t="s">
        <v>18</v>
      </c>
      <c r="D717" t="s">
        <v>25</v>
      </c>
      <c r="E717" s="6">
        <v>3163</v>
      </c>
      <c r="F717">
        <v>1</v>
      </c>
      <c r="G717" t="str">
        <f>PROPER(TRIM(Table1[[#This Row],[Product]]))</f>
        <v>Tablet</v>
      </c>
      <c r="H717" t="str">
        <f>PROPER(TRIM(Table1[[#This Row],[Region]]))</f>
        <v>East</v>
      </c>
      <c r="I717" s="6">
        <f>Table1[[#This Row],[Sales]]*Table1[[#This Row],[Quantity]]</f>
        <v>3163</v>
      </c>
    </row>
    <row r="718" spans="1:9" x14ac:dyDescent="0.35">
      <c r="A718" t="s">
        <v>715</v>
      </c>
      <c r="B718" s="1">
        <v>45103</v>
      </c>
      <c r="C718" t="s">
        <v>8</v>
      </c>
      <c r="D718" t="s">
        <v>40</v>
      </c>
      <c r="E718" s="6">
        <v>11234</v>
      </c>
      <c r="F718">
        <v>4</v>
      </c>
      <c r="G718" t="str">
        <f>PROPER(TRIM(Table1[[#This Row],[Product]]))</f>
        <v>Headphones</v>
      </c>
      <c r="H718" t="str">
        <f>PROPER(TRIM(Table1[[#This Row],[Region]]))</f>
        <v>North</v>
      </c>
      <c r="I718" s="6">
        <f>Table1[[#This Row],[Sales]]*Table1[[#This Row],[Quantity]]</f>
        <v>44936</v>
      </c>
    </row>
    <row r="719" spans="1:9" x14ac:dyDescent="0.35">
      <c r="A719" t="s">
        <v>716</v>
      </c>
      <c r="B719" s="1">
        <v>45115</v>
      </c>
      <c r="C719" t="s">
        <v>18</v>
      </c>
      <c r="D719" t="s">
        <v>25</v>
      </c>
      <c r="E719" s="6">
        <v>48227</v>
      </c>
      <c r="F719">
        <v>4</v>
      </c>
      <c r="G719" t="str">
        <f>PROPER(TRIM(Table1[[#This Row],[Product]]))</f>
        <v>Tablet</v>
      </c>
      <c r="H719" t="str">
        <f>PROPER(TRIM(Table1[[#This Row],[Region]]))</f>
        <v>East</v>
      </c>
      <c r="I719" s="6">
        <f>Table1[[#This Row],[Sales]]*Table1[[#This Row],[Quantity]]</f>
        <v>192908</v>
      </c>
    </row>
    <row r="720" spans="1:9" x14ac:dyDescent="0.35">
      <c r="A720" t="s">
        <v>717</v>
      </c>
      <c r="B720" s="1">
        <v>44956</v>
      </c>
      <c r="C720" t="s">
        <v>8</v>
      </c>
      <c r="D720" t="s">
        <v>28</v>
      </c>
      <c r="E720" s="6">
        <v>40831</v>
      </c>
      <c r="F720">
        <v>7</v>
      </c>
      <c r="G720" t="str">
        <f>PROPER(TRIM(Table1[[#This Row],[Product]]))</f>
        <v>Phone</v>
      </c>
      <c r="H720" t="str">
        <f>PROPER(TRIM(Table1[[#This Row],[Region]]))</f>
        <v>North</v>
      </c>
      <c r="I720" s="6">
        <f>Table1[[#This Row],[Sales]]*Table1[[#This Row],[Quantity]]</f>
        <v>285817</v>
      </c>
    </row>
    <row r="721" spans="1:9" x14ac:dyDescent="0.35">
      <c r="A721" t="s">
        <v>718</v>
      </c>
      <c r="B721" s="1">
        <v>45095</v>
      </c>
      <c r="C721" t="s">
        <v>33</v>
      </c>
      <c r="D721" t="s">
        <v>25</v>
      </c>
      <c r="E721" s="6">
        <v>9077</v>
      </c>
      <c r="F721">
        <v>5</v>
      </c>
      <c r="G721" t="str">
        <f>PROPER(TRIM(Table1[[#This Row],[Product]]))</f>
        <v>Tablet</v>
      </c>
      <c r="H721" t="str">
        <f>PROPER(TRIM(Table1[[#This Row],[Region]]))</f>
        <v>South</v>
      </c>
      <c r="I721" s="6">
        <f>Table1[[#This Row],[Sales]]*Table1[[#This Row],[Quantity]]</f>
        <v>45385</v>
      </c>
    </row>
    <row r="722" spans="1:9" x14ac:dyDescent="0.35">
      <c r="A722" t="s">
        <v>719</v>
      </c>
      <c r="B722" s="1">
        <v>45021</v>
      </c>
      <c r="C722" t="s">
        <v>18</v>
      </c>
      <c r="D722" t="s">
        <v>28</v>
      </c>
      <c r="E722" s="6">
        <v>14663</v>
      </c>
      <c r="F722">
        <v>6</v>
      </c>
      <c r="G722" t="str">
        <f>PROPER(TRIM(Table1[[#This Row],[Product]]))</f>
        <v>Phone</v>
      </c>
      <c r="H722" t="str">
        <f>PROPER(TRIM(Table1[[#This Row],[Region]]))</f>
        <v>East</v>
      </c>
      <c r="I722" s="6">
        <f>Table1[[#This Row],[Sales]]*Table1[[#This Row],[Quantity]]</f>
        <v>87978</v>
      </c>
    </row>
    <row r="723" spans="1:9" x14ac:dyDescent="0.35">
      <c r="A723" t="s">
        <v>720</v>
      </c>
      <c r="B723" s="1">
        <v>44997</v>
      </c>
      <c r="C723" t="s">
        <v>33</v>
      </c>
      <c r="D723" t="s">
        <v>28</v>
      </c>
      <c r="E723" s="6">
        <v>822</v>
      </c>
      <c r="F723">
        <v>2</v>
      </c>
      <c r="G723" t="str">
        <f>PROPER(TRIM(Table1[[#This Row],[Product]]))</f>
        <v>Phone</v>
      </c>
      <c r="H723" t="str">
        <f>PROPER(TRIM(Table1[[#This Row],[Region]]))</f>
        <v>South</v>
      </c>
      <c r="I723" s="6">
        <f>Table1[[#This Row],[Sales]]*Table1[[#This Row],[Quantity]]</f>
        <v>1644</v>
      </c>
    </row>
    <row r="724" spans="1:9" x14ac:dyDescent="0.35">
      <c r="A724" t="s">
        <v>721</v>
      </c>
      <c r="B724" s="1">
        <v>45111</v>
      </c>
      <c r="C724" t="s">
        <v>33</v>
      </c>
      <c r="D724" t="s">
        <v>31</v>
      </c>
      <c r="E724" s="6">
        <v>43923</v>
      </c>
      <c r="F724">
        <v>5</v>
      </c>
      <c r="G724" t="str">
        <f>PROPER(TRIM(Table1[[#This Row],[Product]]))</f>
        <v>Monitor</v>
      </c>
      <c r="H724" t="str">
        <f>PROPER(TRIM(Table1[[#This Row],[Region]]))</f>
        <v>South</v>
      </c>
      <c r="I724" s="6">
        <f>Table1[[#This Row],[Sales]]*Table1[[#This Row],[Quantity]]</f>
        <v>219615</v>
      </c>
    </row>
    <row r="725" spans="1:9" x14ac:dyDescent="0.35">
      <c r="A725" t="s">
        <v>722</v>
      </c>
      <c r="B725" s="1">
        <v>45270</v>
      </c>
      <c r="C725" t="s">
        <v>8</v>
      </c>
      <c r="D725" t="s">
        <v>28</v>
      </c>
      <c r="E725" s="6">
        <v>24024</v>
      </c>
      <c r="F725">
        <v>10</v>
      </c>
      <c r="G725" t="str">
        <f>PROPER(TRIM(Table1[[#This Row],[Product]]))</f>
        <v>Phone</v>
      </c>
      <c r="H725" t="str">
        <f>PROPER(TRIM(Table1[[#This Row],[Region]]))</f>
        <v>North</v>
      </c>
      <c r="I725" s="6">
        <f>Table1[[#This Row],[Sales]]*Table1[[#This Row],[Quantity]]</f>
        <v>240240</v>
      </c>
    </row>
    <row r="726" spans="1:9" x14ac:dyDescent="0.35">
      <c r="A726" t="s">
        <v>723</v>
      </c>
      <c r="B726" s="1">
        <v>45080</v>
      </c>
      <c r="C726" t="s">
        <v>18</v>
      </c>
      <c r="D726" t="s">
        <v>25</v>
      </c>
      <c r="E726" s="6">
        <v>30278</v>
      </c>
      <c r="F726">
        <v>10</v>
      </c>
      <c r="G726" t="str">
        <f>PROPER(TRIM(Table1[[#This Row],[Product]]))</f>
        <v>Tablet</v>
      </c>
      <c r="H726" t="str">
        <f>PROPER(TRIM(Table1[[#This Row],[Region]]))</f>
        <v>East</v>
      </c>
      <c r="I726" s="6">
        <f>Table1[[#This Row],[Sales]]*Table1[[#This Row],[Quantity]]</f>
        <v>302780</v>
      </c>
    </row>
    <row r="727" spans="1:9" x14ac:dyDescent="0.35">
      <c r="A727" t="s">
        <v>724</v>
      </c>
      <c r="B727" s="1">
        <v>44991</v>
      </c>
      <c r="C727" t="s">
        <v>18</v>
      </c>
      <c r="D727" t="s">
        <v>28</v>
      </c>
      <c r="E727" s="6">
        <v>16188</v>
      </c>
      <c r="F727">
        <v>10</v>
      </c>
      <c r="G727" t="str">
        <f>PROPER(TRIM(Table1[[#This Row],[Product]]))</f>
        <v>Phone</v>
      </c>
      <c r="H727" t="str">
        <f>PROPER(TRIM(Table1[[#This Row],[Region]]))</f>
        <v>East</v>
      </c>
      <c r="I727" s="6">
        <f>Table1[[#This Row],[Sales]]*Table1[[#This Row],[Quantity]]</f>
        <v>161880</v>
      </c>
    </row>
    <row r="728" spans="1:9" x14ac:dyDescent="0.35">
      <c r="A728" t="s">
        <v>725</v>
      </c>
      <c r="B728" s="1">
        <v>44952</v>
      </c>
      <c r="C728" t="s">
        <v>18</v>
      </c>
      <c r="D728" t="s">
        <v>31</v>
      </c>
      <c r="E728" s="6">
        <v>34435</v>
      </c>
      <c r="F728">
        <v>1</v>
      </c>
      <c r="G728" t="str">
        <f>PROPER(TRIM(Table1[[#This Row],[Product]]))</f>
        <v>Monitor</v>
      </c>
      <c r="H728" t="str">
        <f>PROPER(TRIM(Table1[[#This Row],[Region]]))</f>
        <v>East</v>
      </c>
      <c r="I728" s="6">
        <f>Table1[[#This Row],[Sales]]*Table1[[#This Row],[Quantity]]</f>
        <v>34435</v>
      </c>
    </row>
    <row r="729" spans="1:9" x14ac:dyDescent="0.35">
      <c r="A729" t="s">
        <v>726</v>
      </c>
      <c r="B729" s="1">
        <v>45257</v>
      </c>
      <c r="C729" t="s">
        <v>8</v>
      </c>
      <c r="D729" t="s">
        <v>31</v>
      </c>
      <c r="E729" s="6">
        <v>36048</v>
      </c>
      <c r="F729">
        <v>3</v>
      </c>
      <c r="G729" t="str">
        <f>PROPER(TRIM(Table1[[#This Row],[Product]]))</f>
        <v>Monitor</v>
      </c>
      <c r="H729" t="str">
        <f>PROPER(TRIM(Table1[[#This Row],[Region]]))</f>
        <v>North</v>
      </c>
      <c r="I729" s="6">
        <f>Table1[[#This Row],[Sales]]*Table1[[#This Row],[Quantity]]</f>
        <v>108144</v>
      </c>
    </row>
    <row r="730" spans="1:9" x14ac:dyDescent="0.35">
      <c r="A730" t="s">
        <v>727</v>
      </c>
      <c r="B730" s="1">
        <v>45027</v>
      </c>
      <c r="C730" t="s">
        <v>8</v>
      </c>
      <c r="D730" t="s">
        <v>25</v>
      </c>
      <c r="E730" s="6">
        <v>23882</v>
      </c>
      <c r="F730">
        <v>10</v>
      </c>
      <c r="G730" t="str">
        <f>PROPER(TRIM(Table1[[#This Row],[Product]]))</f>
        <v>Tablet</v>
      </c>
      <c r="H730" t="str">
        <f>PROPER(TRIM(Table1[[#This Row],[Region]]))</f>
        <v>North</v>
      </c>
      <c r="I730" s="6">
        <f>Table1[[#This Row],[Sales]]*Table1[[#This Row],[Quantity]]</f>
        <v>238820</v>
      </c>
    </row>
    <row r="731" spans="1:9" x14ac:dyDescent="0.35">
      <c r="A731" t="s">
        <v>728</v>
      </c>
      <c r="B731" s="1">
        <v>45149</v>
      </c>
      <c r="C731" t="s">
        <v>8</v>
      </c>
      <c r="D731" t="s">
        <v>31</v>
      </c>
      <c r="E731" s="6">
        <v>46191</v>
      </c>
      <c r="F731">
        <v>9</v>
      </c>
      <c r="G731" t="str">
        <f>PROPER(TRIM(Table1[[#This Row],[Product]]))</f>
        <v>Monitor</v>
      </c>
      <c r="H731" t="str">
        <f>PROPER(TRIM(Table1[[#This Row],[Region]]))</f>
        <v>North</v>
      </c>
      <c r="I731" s="6">
        <f>Table1[[#This Row],[Sales]]*Table1[[#This Row],[Quantity]]</f>
        <v>415719</v>
      </c>
    </row>
    <row r="732" spans="1:9" x14ac:dyDescent="0.35">
      <c r="A732" t="s">
        <v>729</v>
      </c>
      <c r="B732" s="1">
        <v>45260</v>
      </c>
      <c r="C732" t="s">
        <v>18</v>
      </c>
      <c r="D732" t="s">
        <v>13</v>
      </c>
      <c r="E732" s="6">
        <v>17025</v>
      </c>
      <c r="F732">
        <v>7</v>
      </c>
      <c r="G732" t="str">
        <f>PROPER(TRIM(Table1[[#This Row],[Product]]))</f>
        <v>Laptop</v>
      </c>
      <c r="H732" t="str">
        <f>PROPER(TRIM(Table1[[#This Row],[Region]]))</f>
        <v>East</v>
      </c>
      <c r="I732" s="6">
        <f>Table1[[#This Row],[Sales]]*Table1[[#This Row],[Quantity]]</f>
        <v>119175</v>
      </c>
    </row>
    <row r="733" spans="1:9" x14ac:dyDescent="0.35">
      <c r="A733" t="s">
        <v>730</v>
      </c>
      <c r="B733" s="1">
        <v>45064</v>
      </c>
      <c r="C733" t="s">
        <v>30</v>
      </c>
      <c r="D733" t="s">
        <v>25</v>
      </c>
      <c r="E733" s="6">
        <v>12768</v>
      </c>
      <c r="F733">
        <v>4</v>
      </c>
      <c r="G733" t="str">
        <f>PROPER(TRIM(Table1[[#This Row],[Product]]))</f>
        <v>Tablet</v>
      </c>
      <c r="H733" t="str">
        <f>PROPER(TRIM(Table1[[#This Row],[Region]]))</f>
        <v>West</v>
      </c>
      <c r="I733" s="6">
        <f>Table1[[#This Row],[Sales]]*Table1[[#This Row],[Quantity]]</f>
        <v>51072</v>
      </c>
    </row>
    <row r="734" spans="1:9" x14ac:dyDescent="0.35">
      <c r="A734" t="s">
        <v>731</v>
      </c>
      <c r="B734" s="1">
        <v>45018</v>
      </c>
      <c r="C734" t="s">
        <v>30</v>
      </c>
      <c r="D734" t="s">
        <v>28</v>
      </c>
      <c r="E734" s="6">
        <v>28108</v>
      </c>
      <c r="F734">
        <v>2</v>
      </c>
      <c r="G734" t="str">
        <f>PROPER(TRIM(Table1[[#This Row],[Product]]))</f>
        <v>Phone</v>
      </c>
      <c r="H734" t="str">
        <f>PROPER(TRIM(Table1[[#This Row],[Region]]))</f>
        <v>West</v>
      </c>
      <c r="I734" s="6">
        <f>Table1[[#This Row],[Sales]]*Table1[[#This Row],[Quantity]]</f>
        <v>56216</v>
      </c>
    </row>
    <row r="735" spans="1:9" x14ac:dyDescent="0.35">
      <c r="A735" t="s">
        <v>732</v>
      </c>
      <c r="B735" s="1">
        <v>45204</v>
      </c>
      <c r="C735" t="s">
        <v>8</v>
      </c>
      <c r="D735" t="s">
        <v>31</v>
      </c>
      <c r="E735" s="6">
        <v>46678</v>
      </c>
      <c r="F735">
        <v>8</v>
      </c>
      <c r="G735" t="str">
        <f>PROPER(TRIM(Table1[[#This Row],[Product]]))</f>
        <v>Monitor</v>
      </c>
      <c r="H735" t="str">
        <f>PROPER(TRIM(Table1[[#This Row],[Region]]))</f>
        <v>North</v>
      </c>
      <c r="I735" s="6">
        <f>Table1[[#This Row],[Sales]]*Table1[[#This Row],[Quantity]]</f>
        <v>373424</v>
      </c>
    </row>
    <row r="736" spans="1:9" x14ac:dyDescent="0.35">
      <c r="A736" t="s">
        <v>733</v>
      </c>
      <c r="B736" s="1">
        <v>45150</v>
      </c>
      <c r="C736" t="s">
        <v>30</v>
      </c>
      <c r="D736" t="s">
        <v>25</v>
      </c>
      <c r="E736" s="6">
        <v>2912</v>
      </c>
      <c r="F736">
        <v>6</v>
      </c>
      <c r="G736" t="str">
        <f>PROPER(TRIM(Table1[[#This Row],[Product]]))</f>
        <v>Tablet</v>
      </c>
      <c r="H736" t="str">
        <f>PROPER(TRIM(Table1[[#This Row],[Region]]))</f>
        <v>West</v>
      </c>
      <c r="I736" s="6">
        <f>Table1[[#This Row],[Sales]]*Table1[[#This Row],[Quantity]]</f>
        <v>17472</v>
      </c>
    </row>
    <row r="737" spans="1:9" x14ac:dyDescent="0.35">
      <c r="A737" t="s">
        <v>734</v>
      </c>
      <c r="B737" s="1">
        <v>45006</v>
      </c>
      <c r="C737" t="s">
        <v>30</v>
      </c>
      <c r="D737" t="s">
        <v>13</v>
      </c>
      <c r="E737" s="6">
        <v>40292</v>
      </c>
      <c r="F737">
        <v>1</v>
      </c>
      <c r="G737" t="str">
        <f>PROPER(TRIM(Table1[[#This Row],[Product]]))</f>
        <v>Laptop</v>
      </c>
      <c r="H737" t="str">
        <f>PROPER(TRIM(Table1[[#This Row],[Region]]))</f>
        <v>West</v>
      </c>
      <c r="I737" s="6">
        <f>Table1[[#This Row],[Sales]]*Table1[[#This Row],[Quantity]]</f>
        <v>40292</v>
      </c>
    </row>
    <row r="738" spans="1:9" x14ac:dyDescent="0.35">
      <c r="A738" t="s">
        <v>735</v>
      </c>
      <c r="B738" s="1">
        <v>45221</v>
      </c>
      <c r="C738" t="s">
        <v>33</v>
      </c>
      <c r="D738" t="s">
        <v>28</v>
      </c>
      <c r="E738" s="6">
        <v>34885</v>
      </c>
      <c r="F738">
        <v>8</v>
      </c>
      <c r="G738" t="str">
        <f>PROPER(TRIM(Table1[[#This Row],[Product]]))</f>
        <v>Phone</v>
      </c>
      <c r="H738" t="str">
        <f>PROPER(TRIM(Table1[[#This Row],[Region]]))</f>
        <v>South</v>
      </c>
      <c r="I738" s="6">
        <f>Table1[[#This Row],[Sales]]*Table1[[#This Row],[Quantity]]</f>
        <v>279080</v>
      </c>
    </row>
    <row r="739" spans="1:9" x14ac:dyDescent="0.35">
      <c r="A739" t="s">
        <v>736</v>
      </c>
      <c r="B739" s="1">
        <v>45267</v>
      </c>
      <c r="C739" t="s">
        <v>33</v>
      </c>
      <c r="D739" t="s">
        <v>31</v>
      </c>
      <c r="E739" s="6">
        <v>36822</v>
      </c>
      <c r="F739">
        <v>6</v>
      </c>
      <c r="G739" t="str">
        <f>PROPER(TRIM(Table1[[#This Row],[Product]]))</f>
        <v>Monitor</v>
      </c>
      <c r="H739" t="str">
        <f>PROPER(TRIM(Table1[[#This Row],[Region]]))</f>
        <v>South</v>
      </c>
      <c r="I739" s="6">
        <f>Table1[[#This Row],[Sales]]*Table1[[#This Row],[Quantity]]</f>
        <v>220932</v>
      </c>
    </row>
    <row r="740" spans="1:9" x14ac:dyDescent="0.35">
      <c r="A740" t="s">
        <v>737</v>
      </c>
      <c r="B740" s="1">
        <v>45265</v>
      </c>
      <c r="C740" t="s">
        <v>8</v>
      </c>
      <c r="D740" t="s">
        <v>25</v>
      </c>
      <c r="E740" s="6">
        <v>36032</v>
      </c>
      <c r="F740">
        <v>3</v>
      </c>
      <c r="G740" t="str">
        <f>PROPER(TRIM(Table1[[#This Row],[Product]]))</f>
        <v>Tablet</v>
      </c>
      <c r="H740" t="str">
        <f>PROPER(TRIM(Table1[[#This Row],[Region]]))</f>
        <v>North</v>
      </c>
      <c r="I740" s="6">
        <f>Table1[[#This Row],[Sales]]*Table1[[#This Row],[Quantity]]</f>
        <v>108096</v>
      </c>
    </row>
    <row r="741" spans="1:9" x14ac:dyDescent="0.35">
      <c r="A741" t="s">
        <v>738</v>
      </c>
      <c r="B741" s="1">
        <v>45225</v>
      </c>
      <c r="C741" t="s">
        <v>30</v>
      </c>
      <c r="D741" t="s">
        <v>31</v>
      </c>
      <c r="E741" s="6">
        <v>14355</v>
      </c>
      <c r="F741">
        <v>8</v>
      </c>
      <c r="G741" t="str">
        <f>PROPER(TRIM(Table1[[#This Row],[Product]]))</f>
        <v>Monitor</v>
      </c>
      <c r="H741" t="str">
        <f>PROPER(TRIM(Table1[[#This Row],[Region]]))</f>
        <v>West</v>
      </c>
      <c r="I741" s="6">
        <f>Table1[[#This Row],[Sales]]*Table1[[#This Row],[Quantity]]</f>
        <v>114840</v>
      </c>
    </row>
    <row r="742" spans="1:9" x14ac:dyDescent="0.35">
      <c r="A742" t="s">
        <v>739</v>
      </c>
      <c r="B742" s="1">
        <v>45281</v>
      </c>
      <c r="C742" t="s">
        <v>30</v>
      </c>
      <c r="D742" t="s">
        <v>28</v>
      </c>
      <c r="E742" s="6">
        <v>25566</v>
      </c>
      <c r="F742">
        <v>9</v>
      </c>
      <c r="G742" t="str">
        <f>PROPER(TRIM(Table1[[#This Row],[Product]]))</f>
        <v>Phone</v>
      </c>
      <c r="H742" t="str">
        <f>PROPER(TRIM(Table1[[#This Row],[Region]]))</f>
        <v>West</v>
      </c>
      <c r="I742" s="6">
        <f>Table1[[#This Row],[Sales]]*Table1[[#This Row],[Quantity]]</f>
        <v>230094</v>
      </c>
    </row>
    <row r="743" spans="1:9" x14ac:dyDescent="0.35">
      <c r="A743" t="s">
        <v>740</v>
      </c>
      <c r="B743" s="1">
        <v>44957</v>
      </c>
      <c r="C743" t="s">
        <v>33</v>
      </c>
      <c r="D743" t="s">
        <v>31</v>
      </c>
      <c r="E743" s="6">
        <v>1871</v>
      </c>
      <c r="F743">
        <v>2</v>
      </c>
      <c r="G743" t="str">
        <f>PROPER(TRIM(Table1[[#This Row],[Product]]))</f>
        <v>Monitor</v>
      </c>
      <c r="H743" t="str">
        <f>PROPER(TRIM(Table1[[#This Row],[Region]]))</f>
        <v>South</v>
      </c>
      <c r="I743" s="6">
        <f>Table1[[#This Row],[Sales]]*Table1[[#This Row],[Quantity]]</f>
        <v>3742</v>
      </c>
    </row>
    <row r="744" spans="1:9" x14ac:dyDescent="0.35">
      <c r="A744" t="s">
        <v>741</v>
      </c>
      <c r="B744" s="1">
        <v>44940</v>
      </c>
      <c r="C744" t="s">
        <v>18</v>
      </c>
      <c r="D744" t="s">
        <v>31</v>
      </c>
      <c r="E744" s="6">
        <v>28715</v>
      </c>
      <c r="F744">
        <v>7</v>
      </c>
      <c r="G744" t="str">
        <f>PROPER(TRIM(Table1[[#This Row],[Product]]))</f>
        <v>Monitor</v>
      </c>
      <c r="H744" t="str">
        <f>PROPER(TRIM(Table1[[#This Row],[Region]]))</f>
        <v>East</v>
      </c>
      <c r="I744" s="6">
        <f>Table1[[#This Row],[Sales]]*Table1[[#This Row],[Quantity]]</f>
        <v>201005</v>
      </c>
    </row>
    <row r="745" spans="1:9" x14ac:dyDescent="0.35">
      <c r="A745" t="s">
        <v>742</v>
      </c>
      <c r="B745" s="1">
        <v>45065</v>
      </c>
      <c r="C745" t="s">
        <v>33</v>
      </c>
      <c r="D745" t="s">
        <v>28</v>
      </c>
      <c r="E745" s="6">
        <v>25415</v>
      </c>
      <c r="F745">
        <v>10</v>
      </c>
      <c r="G745" t="str">
        <f>PROPER(TRIM(Table1[[#This Row],[Product]]))</f>
        <v>Phone</v>
      </c>
      <c r="H745" t="str">
        <f>PROPER(TRIM(Table1[[#This Row],[Region]]))</f>
        <v>South</v>
      </c>
      <c r="I745" s="6">
        <f>Table1[[#This Row],[Sales]]*Table1[[#This Row],[Quantity]]</f>
        <v>254150</v>
      </c>
    </row>
    <row r="746" spans="1:9" x14ac:dyDescent="0.35">
      <c r="A746" t="s">
        <v>743</v>
      </c>
      <c r="B746" s="1">
        <v>45166</v>
      </c>
      <c r="C746" t="s">
        <v>18</v>
      </c>
      <c r="D746" t="s">
        <v>13</v>
      </c>
      <c r="E746" s="6">
        <v>33169</v>
      </c>
      <c r="F746">
        <v>4</v>
      </c>
      <c r="G746" t="str">
        <f>PROPER(TRIM(Table1[[#This Row],[Product]]))</f>
        <v>Laptop</v>
      </c>
      <c r="H746" t="str">
        <f>PROPER(TRIM(Table1[[#This Row],[Region]]))</f>
        <v>East</v>
      </c>
      <c r="I746" s="6">
        <f>Table1[[#This Row],[Sales]]*Table1[[#This Row],[Quantity]]</f>
        <v>132676</v>
      </c>
    </row>
    <row r="747" spans="1:9" x14ac:dyDescent="0.35">
      <c r="A747" t="s">
        <v>744</v>
      </c>
      <c r="B747" s="1">
        <v>44960</v>
      </c>
      <c r="C747" t="s">
        <v>33</v>
      </c>
      <c r="D747" t="s">
        <v>28</v>
      </c>
      <c r="E747" s="6">
        <v>24128</v>
      </c>
      <c r="F747">
        <v>2</v>
      </c>
      <c r="G747" t="str">
        <f>PROPER(TRIM(Table1[[#This Row],[Product]]))</f>
        <v>Phone</v>
      </c>
      <c r="H747" t="str">
        <f>PROPER(TRIM(Table1[[#This Row],[Region]]))</f>
        <v>South</v>
      </c>
      <c r="I747" s="6">
        <f>Table1[[#This Row],[Sales]]*Table1[[#This Row],[Quantity]]</f>
        <v>48256</v>
      </c>
    </row>
    <row r="748" spans="1:9" x14ac:dyDescent="0.35">
      <c r="A748" t="s">
        <v>744</v>
      </c>
      <c r="B748" s="1">
        <v>44960</v>
      </c>
      <c r="C748" t="s">
        <v>33</v>
      </c>
      <c r="D748" t="s">
        <v>28</v>
      </c>
      <c r="E748" s="6">
        <v>24128</v>
      </c>
      <c r="F748">
        <v>2</v>
      </c>
      <c r="G748" t="str">
        <f>PROPER(TRIM(Table1[[#This Row],[Product]]))</f>
        <v>Phone</v>
      </c>
      <c r="H748" t="str">
        <f>PROPER(TRIM(Table1[[#This Row],[Region]]))</f>
        <v>South</v>
      </c>
      <c r="I748" s="6">
        <f>Table1[[#This Row],[Sales]]*Table1[[#This Row],[Quantity]]</f>
        <v>48256</v>
      </c>
    </row>
    <row r="749" spans="1:9" x14ac:dyDescent="0.35">
      <c r="A749" t="s">
        <v>745</v>
      </c>
      <c r="B749" s="1">
        <v>45137</v>
      </c>
      <c r="C749" t="s">
        <v>8</v>
      </c>
      <c r="D749" t="s">
        <v>31</v>
      </c>
      <c r="E749" s="6">
        <v>18283</v>
      </c>
      <c r="F749">
        <v>10</v>
      </c>
      <c r="G749" t="str">
        <f>PROPER(TRIM(Table1[[#This Row],[Product]]))</f>
        <v>Monitor</v>
      </c>
      <c r="H749" t="str">
        <f>PROPER(TRIM(Table1[[#This Row],[Region]]))</f>
        <v>North</v>
      </c>
      <c r="I749" s="6">
        <f>Table1[[#This Row],[Sales]]*Table1[[#This Row],[Quantity]]</f>
        <v>182830</v>
      </c>
    </row>
    <row r="750" spans="1:9" x14ac:dyDescent="0.35">
      <c r="A750" t="s">
        <v>746</v>
      </c>
      <c r="B750" s="1">
        <v>45029</v>
      </c>
      <c r="C750" t="s">
        <v>33</v>
      </c>
      <c r="D750" t="s">
        <v>25</v>
      </c>
      <c r="E750" s="6">
        <v>304</v>
      </c>
      <c r="F750">
        <v>8</v>
      </c>
      <c r="G750" t="str">
        <f>PROPER(TRIM(Table1[[#This Row],[Product]]))</f>
        <v>Tablet</v>
      </c>
      <c r="H750" t="str">
        <f>PROPER(TRIM(Table1[[#This Row],[Region]]))</f>
        <v>South</v>
      </c>
      <c r="I750" s="6">
        <f>Table1[[#This Row],[Sales]]*Table1[[#This Row],[Quantity]]</f>
        <v>2432</v>
      </c>
    </row>
    <row r="751" spans="1:9" x14ac:dyDescent="0.35">
      <c r="A751" t="s">
        <v>747</v>
      </c>
      <c r="B751" s="1">
        <v>45152</v>
      </c>
      <c r="C751" t="s">
        <v>18</v>
      </c>
      <c r="D751" t="s">
        <v>25</v>
      </c>
      <c r="E751" s="6">
        <v>42119</v>
      </c>
      <c r="F751">
        <v>4</v>
      </c>
      <c r="G751" t="str">
        <f>PROPER(TRIM(Table1[[#This Row],[Product]]))</f>
        <v>Tablet</v>
      </c>
      <c r="H751" t="str">
        <f>PROPER(TRIM(Table1[[#This Row],[Region]]))</f>
        <v>East</v>
      </c>
      <c r="I751" s="6">
        <f>Table1[[#This Row],[Sales]]*Table1[[#This Row],[Quantity]]</f>
        <v>168476</v>
      </c>
    </row>
    <row r="752" spans="1:9" x14ac:dyDescent="0.35">
      <c r="A752" t="s">
        <v>748</v>
      </c>
      <c r="B752" s="1">
        <v>45268</v>
      </c>
      <c r="C752" t="s">
        <v>18</v>
      </c>
      <c r="D752" t="s">
        <v>25</v>
      </c>
      <c r="E752" s="6">
        <v>34446</v>
      </c>
      <c r="F752">
        <v>2</v>
      </c>
      <c r="G752" t="str">
        <f>PROPER(TRIM(Table1[[#This Row],[Product]]))</f>
        <v>Tablet</v>
      </c>
      <c r="H752" t="str">
        <f>PROPER(TRIM(Table1[[#This Row],[Region]]))</f>
        <v>East</v>
      </c>
      <c r="I752" s="6">
        <f>Table1[[#This Row],[Sales]]*Table1[[#This Row],[Quantity]]</f>
        <v>68892</v>
      </c>
    </row>
    <row r="753" spans="1:9" x14ac:dyDescent="0.35">
      <c r="A753" t="s">
        <v>749</v>
      </c>
      <c r="B753" s="1">
        <v>45230</v>
      </c>
      <c r="C753" t="s">
        <v>30</v>
      </c>
      <c r="D753" t="s">
        <v>31</v>
      </c>
      <c r="E753" s="6">
        <v>38564</v>
      </c>
      <c r="F753">
        <v>5</v>
      </c>
      <c r="G753" t="str">
        <f>PROPER(TRIM(Table1[[#This Row],[Product]]))</f>
        <v>Monitor</v>
      </c>
      <c r="H753" t="str">
        <f>PROPER(TRIM(Table1[[#This Row],[Region]]))</f>
        <v>West</v>
      </c>
      <c r="I753" s="6">
        <f>Table1[[#This Row],[Sales]]*Table1[[#This Row],[Quantity]]</f>
        <v>192820</v>
      </c>
    </row>
    <row r="754" spans="1:9" x14ac:dyDescent="0.35">
      <c r="A754" t="s">
        <v>750</v>
      </c>
      <c r="B754" s="1">
        <v>45082</v>
      </c>
      <c r="C754" t="s">
        <v>8</v>
      </c>
      <c r="D754" t="s">
        <v>25</v>
      </c>
      <c r="E754" s="6">
        <v>22015</v>
      </c>
      <c r="F754">
        <v>1</v>
      </c>
      <c r="G754" t="str">
        <f>PROPER(TRIM(Table1[[#This Row],[Product]]))</f>
        <v>Tablet</v>
      </c>
      <c r="H754" t="str">
        <f>PROPER(TRIM(Table1[[#This Row],[Region]]))</f>
        <v>North</v>
      </c>
      <c r="I754" s="6">
        <f>Table1[[#This Row],[Sales]]*Table1[[#This Row],[Quantity]]</f>
        <v>22015</v>
      </c>
    </row>
    <row r="755" spans="1:9" x14ac:dyDescent="0.35">
      <c r="A755" t="s">
        <v>750</v>
      </c>
      <c r="B755" s="1">
        <v>45082</v>
      </c>
      <c r="C755" t="s">
        <v>8</v>
      </c>
      <c r="D755" t="s">
        <v>25</v>
      </c>
      <c r="E755" s="6">
        <v>22015</v>
      </c>
      <c r="F755">
        <v>1</v>
      </c>
      <c r="G755" t="str">
        <f>PROPER(TRIM(Table1[[#This Row],[Product]]))</f>
        <v>Tablet</v>
      </c>
      <c r="H755" t="str">
        <f>PROPER(TRIM(Table1[[#This Row],[Region]]))</f>
        <v>North</v>
      </c>
      <c r="I755" s="6">
        <f>Table1[[#This Row],[Sales]]*Table1[[#This Row],[Quantity]]</f>
        <v>22015</v>
      </c>
    </row>
    <row r="756" spans="1:9" x14ac:dyDescent="0.35">
      <c r="A756" t="s">
        <v>751</v>
      </c>
      <c r="B756" s="1">
        <v>44948</v>
      </c>
      <c r="C756" t="s">
        <v>18</v>
      </c>
      <c r="D756" t="s">
        <v>28</v>
      </c>
      <c r="E756" s="6">
        <v>42963</v>
      </c>
      <c r="F756">
        <v>8</v>
      </c>
      <c r="G756" t="str">
        <f>PROPER(TRIM(Table1[[#This Row],[Product]]))</f>
        <v>Phone</v>
      </c>
      <c r="H756" t="str">
        <f>PROPER(TRIM(Table1[[#This Row],[Region]]))</f>
        <v>East</v>
      </c>
      <c r="I756" s="6">
        <f>Table1[[#This Row],[Sales]]*Table1[[#This Row],[Quantity]]</f>
        <v>343704</v>
      </c>
    </row>
    <row r="757" spans="1:9" x14ac:dyDescent="0.35">
      <c r="A757" t="s">
        <v>752</v>
      </c>
      <c r="B757" s="1">
        <v>45178</v>
      </c>
      <c r="C757" t="s">
        <v>8</v>
      </c>
      <c r="D757" t="s">
        <v>31</v>
      </c>
      <c r="E757" s="6">
        <v>29157</v>
      </c>
      <c r="F757">
        <v>3</v>
      </c>
      <c r="G757" t="str">
        <f>PROPER(TRIM(Table1[[#This Row],[Product]]))</f>
        <v>Monitor</v>
      </c>
      <c r="H757" t="str">
        <f>PROPER(TRIM(Table1[[#This Row],[Region]]))</f>
        <v>North</v>
      </c>
      <c r="I757" s="6">
        <f>Table1[[#This Row],[Sales]]*Table1[[#This Row],[Quantity]]</f>
        <v>87471</v>
      </c>
    </row>
    <row r="758" spans="1:9" x14ac:dyDescent="0.35">
      <c r="A758" t="s">
        <v>753</v>
      </c>
      <c r="B758" s="1">
        <v>45198</v>
      </c>
      <c r="C758" t="s">
        <v>18</v>
      </c>
      <c r="D758" t="s">
        <v>25</v>
      </c>
      <c r="E758" s="6">
        <v>39632</v>
      </c>
      <c r="F758">
        <v>9</v>
      </c>
      <c r="G758" t="str">
        <f>PROPER(TRIM(Table1[[#This Row],[Product]]))</f>
        <v>Tablet</v>
      </c>
      <c r="H758" t="str">
        <f>PROPER(TRIM(Table1[[#This Row],[Region]]))</f>
        <v>East</v>
      </c>
      <c r="I758" s="6">
        <f>Table1[[#This Row],[Sales]]*Table1[[#This Row],[Quantity]]</f>
        <v>356688</v>
      </c>
    </row>
    <row r="759" spans="1:9" x14ac:dyDescent="0.35">
      <c r="A759" t="s">
        <v>754</v>
      </c>
      <c r="B759" s="1">
        <v>44932</v>
      </c>
      <c r="C759" t="s">
        <v>8</v>
      </c>
      <c r="D759" t="s">
        <v>31</v>
      </c>
      <c r="E759" s="6">
        <v>11294</v>
      </c>
      <c r="F759">
        <v>10</v>
      </c>
      <c r="G759" t="str">
        <f>PROPER(TRIM(Table1[[#This Row],[Product]]))</f>
        <v>Monitor</v>
      </c>
      <c r="H759" t="str">
        <f>PROPER(TRIM(Table1[[#This Row],[Region]]))</f>
        <v>North</v>
      </c>
      <c r="I759" s="6">
        <f>Table1[[#This Row],[Sales]]*Table1[[#This Row],[Quantity]]</f>
        <v>112940</v>
      </c>
    </row>
    <row r="760" spans="1:9" x14ac:dyDescent="0.35">
      <c r="A760" t="s">
        <v>755</v>
      </c>
      <c r="B760" s="1">
        <v>45079</v>
      </c>
      <c r="C760" t="s">
        <v>8</v>
      </c>
      <c r="D760" t="s">
        <v>25</v>
      </c>
      <c r="E760" s="6">
        <v>48493</v>
      </c>
      <c r="F760">
        <v>6</v>
      </c>
      <c r="G760" t="str">
        <f>PROPER(TRIM(Table1[[#This Row],[Product]]))</f>
        <v>Tablet</v>
      </c>
      <c r="H760" t="str">
        <f>PROPER(TRIM(Table1[[#This Row],[Region]]))</f>
        <v>North</v>
      </c>
      <c r="I760" s="6">
        <f>Table1[[#This Row],[Sales]]*Table1[[#This Row],[Quantity]]</f>
        <v>290958</v>
      </c>
    </row>
    <row r="761" spans="1:9" x14ac:dyDescent="0.35">
      <c r="A761" t="s">
        <v>756</v>
      </c>
      <c r="B761" s="1">
        <v>45281</v>
      </c>
      <c r="C761" t="s">
        <v>8</v>
      </c>
      <c r="D761" t="s">
        <v>40</v>
      </c>
      <c r="E761" s="6">
        <v>20071</v>
      </c>
      <c r="F761">
        <v>7</v>
      </c>
      <c r="G761" t="str">
        <f>PROPER(TRIM(Table1[[#This Row],[Product]]))</f>
        <v>Headphones</v>
      </c>
      <c r="H761" t="str">
        <f>PROPER(TRIM(Table1[[#This Row],[Region]]))</f>
        <v>North</v>
      </c>
      <c r="I761" s="6">
        <f>Table1[[#This Row],[Sales]]*Table1[[#This Row],[Quantity]]</f>
        <v>140497</v>
      </c>
    </row>
    <row r="762" spans="1:9" x14ac:dyDescent="0.35">
      <c r="A762" t="s">
        <v>757</v>
      </c>
      <c r="B762" s="1">
        <v>45254</v>
      </c>
      <c r="C762" t="s">
        <v>18</v>
      </c>
      <c r="D762" t="s">
        <v>31</v>
      </c>
      <c r="E762" s="6">
        <v>48310</v>
      </c>
      <c r="F762">
        <v>2</v>
      </c>
      <c r="G762" t="str">
        <f>PROPER(TRIM(Table1[[#This Row],[Product]]))</f>
        <v>Monitor</v>
      </c>
      <c r="H762" t="str">
        <f>PROPER(TRIM(Table1[[#This Row],[Region]]))</f>
        <v>East</v>
      </c>
      <c r="I762" s="6">
        <f>Table1[[#This Row],[Sales]]*Table1[[#This Row],[Quantity]]</f>
        <v>96620</v>
      </c>
    </row>
    <row r="763" spans="1:9" x14ac:dyDescent="0.35">
      <c r="A763" t="s">
        <v>758</v>
      </c>
      <c r="B763" s="1">
        <v>44998</v>
      </c>
      <c r="C763" t="s">
        <v>8</v>
      </c>
      <c r="D763" t="s">
        <v>31</v>
      </c>
      <c r="E763" s="6">
        <v>6797</v>
      </c>
      <c r="F763">
        <v>5</v>
      </c>
      <c r="G763" t="str">
        <f>PROPER(TRIM(Table1[[#This Row],[Product]]))</f>
        <v>Monitor</v>
      </c>
      <c r="H763" t="str">
        <f>PROPER(TRIM(Table1[[#This Row],[Region]]))</f>
        <v>North</v>
      </c>
      <c r="I763" s="6">
        <f>Table1[[#This Row],[Sales]]*Table1[[#This Row],[Quantity]]</f>
        <v>33985</v>
      </c>
    </row>
    <row r="764" spans="1:9" x14ac:dyDescent="0.35">
      <c r="A764" t="s">
        <v>759</v>
      </c>
      <c r="B764" s="1">
        <v>45186</v>
      </c>
      <c r="C764" t="s">
        <v>18</v>
      </c>
      <c r="D764" t="s">
        <v>13</v>
      </c>
      <c r="E764" s="6">
        <v>22640</v>
      </c>
      <c r="F764">
        <v>4</v>
      </c>
      <c r="G764" t="str">
        <f>PROPER(TRIM(Table1[[#This Row],[Product]]))</f>
        <v>Laptop</v>
      </c>
      <c r="H764" t="str">
        <f>PROPER(TRIM(Table1[[#This Row],[Region]]))</f>
        <v>East</v>
      </c>
      <c r="I764" s="6">
        <f>Table1[[#This Row],[Sales]]*Table1[[#This Row],[Quantity]]</f>
        <v>90560</v>
      </c>
    </row>
    <row r="765" spans="1:9" x14ac:dyDescent="0.35">
      <c r="A765" t="s">
        <v>760</v>
      </c>
      <c r="B765" s="1">
        <v>45204</v>
      </c>
      <c r="C765" t="s">
        <v>8</v>
      </c>
      <c r="D765" t="s">
        <v>13</v>
      </c>
      <c r="E765" s="6">
        <v>5210</v>
      </c>
      <c r="F765">
        <v>5</v>
      </c>
      <c r="G765" t="str">
        <f>PROPER(TRIM(Table1[[#This Row],[Product]]))</f>
        <v>Laptop</v>
      </c>
      <c r="H765" t="str">
        <f>PROPER(TRIM(Table1[[#This Row],[Region]]))</f>
        <v>North</v>
      </c>
      <c r="I765" s="6">
        <f>Table1[[#This Row],[Sales]]*Table1[[#This Row],[Quantity]]</f>
        <v>26050</v>
      </c>
    </row>
    <row r="766" spans="1:9" x14ac:dyDescent="0.35">
      <c r="A766" t="s">
        <v>761</v>
      </c>
      <c r="B766" s="1">
        <v>45178</v>
      </c>
      <c r="C766" t="s">
        <v>33</v>
      </c>
      <c r="D766" t="s">
        <v>31</v>
      </c>
      <c r="E766" s="6">
        <v>34352</v>
      </c>
      <c r="F766">
        <v>10</v>
      </c>
      <c r="G766" t="str">
        <f>PROPER(TRIM(Table1[[#This Row],[Product]]))</f>
        <v>Monitor</v>
      </c>
      <c r="H766" t="str">
        <f>PROPER(TRIM(Table1[[#This Row],[Region]]))</f>
        <v>South</v>
      </c>
      <c r="I766" s="6">
        <f>Table1[[#This Row],[Sales]]*Table1[[#This Row],[Quantity]]</f>
        <v>343520</v>
      </c>
    </row>
    <row r="767" spans="1:9" x14ac:dyDescent="0.35">
      <c r="A767" t="s">
        <v>762</v>
      </c>
      <c r="B767" s="1">
        <v>45255</v>
      </c>
      <c r="C767" t="s">
        <v>33</v>
      </c>
      <c r="D767" t="s">
        <v>13</v>
      </c>
      <c r="E767" s="6">
        <v>2961</v>
      </c>
      <c r="F767">
        <v>3</v>
      </c>
      <c r="G767" t="str">
        <f>PROPER(TRIM(Table1[[#This Row],[Product]]))</f>
        <v>Laptop</v>
      </c>
      <c r="H767" t="str">
        <f>PROPER(TRIM(Table1[[#This Row],[Region]]))</f>
        <v>South</v>
      </c>
      <c r="I767" s="6">
        <f>Table1[[#This Row],[Sales]]*Table1[[#This Row],[Quantity]]</f>
        <v>8883</v>
      </c>
    </row>
    <row r="768" spans="1:9" x14ac:dyDescent="0.35">
      <c r="A768" t="s">
        <v>763</v>
      </c>
      <c r="B768" s="1">
        <v>45292</v>
      </c>
      <c r="C768" t="s">
        <v>33</v>
      </c>
      <c r="D768" t="s">
        <v>28</v>
      </c>
      <c r="E768" s="6">
        <v>45157</v>
      </c>
      <c r="F768">
        <v>2</v>
      </c>
      <c r="G768" t="str">
        <f>PROPER(TRIM(Table1[[#This Row],[Product]]))</f>
        <v>Phone</v>
      </c>
      <c r="H768" t="str">
        <f>PROPER(TRIM(Table1[[#This Row],[Region]]))</f>
        <v>South</v>
      </c>
      <c r="I768" s="6">
        <f>Table1[[#This Row],[Sales]]*Table1[[#This Row],[Quantity]]</f>
        <v>90314</v>
      </c>
    </row>
    <row r="769" spans="1:9" x14ac:dyDescent="0.35">
      <c r="A769" t="s">
        <v>764</v>
      </c>
      <c r="B769" s="1">
        <v>45223</v>
      </c>
      <c r="C769" t="s">
        <v>30</v>
      </c>
      <c r="D769" t="s">
        <v>40</v>
      </c>
      <c r="E769" s="6">
        <v>20531</v>
      </c>
      <c r="F769">
        <v>7</v>
      </c>
      <c r="G769" t="str">
        <f>PROPER(TRIM(Table1[[#This Row],[Product]]))</f>
        <v>Headphones</v>
      </c>
      <c r="H769" t="str">
        <f>PROPER(TRIM(Table1[[#This Row],[Region]]))</f>
        <v>West</v>
      </c>
      <c r="I769" s="6">
        <f>Table1[[#This Row],[Sales]]*Table1[[#This Row],[Quantity]]</f>
        <v>143717</v>
      </c>
    </row>
    <row r="770" spans="1:9" x14ac:dyDescent="0.35">
      <c r="A770" t="s">
        <v>765</v>
      </c>
      <c r="B770" s="1">
        <v>45279</v>
      </c>
      <c r="C770" t="s">
        <v>33</v>
      </c>
      <c r="D770" t="s">
        <v>13</v>
      </c>
      <c r="E770" s="6">
        <v>43192</v>
      </c>
      <c r="F770">
        <v>10</v>
      </c>
      <c r="G770" t="str">
        <f>PROPER(TRIM(Table1[[#This Row],[Product]]))</f>
        <v>Laptop</v>
      </c>
      <c r="H770" t="str">
        <f>PROPER(TRIM(Table1[[#This Row],[Region]]))</f>
        <v>South</v>
      </c>
      <c r="I770" s="6">
        <f>Table1[[#This Row],[Sales]]*Table1[[#This Row],[Quantity]]</f>
        <v>431920</v>
      </c>
    </row>
    <row r="771" spans="1:9" x14ac:dyDescent="0.35">
      <c r="A771" t="s">
        <v>766</v>
      </c>
      <c r="B771" s="1">
        <v>45261</v>
      </c>
      <c r="C771" t="s">
        <v>30</v>
      </c>
      <c r="D771" t="s">
        <v>13</v>
      </c>
      <c r="E771" s="6">
        <v>45408</v>
      </c>
      <c r="F771">
        <v>10</v>
      </c>
      <c r="G771" t="str">
        <f>PROPER(TRIM(Table1[[#This Row],[Product]]))</f>
        <v>Laptop</v>
      </c>
      <c r="H771" t="str">
        <f>PROPER(TRIM(Table1[[#This Row],[Region]]))</f>
        <v>West</v>
      </c>
      <c r="I771" s="6">
        <f>Table1[[#This Row],[Sales]]*Table1[[#This Row],[Quantity]]</f>
        <v>454080</v>
      </c>
    </row>
    <row r="772" spans="1:9" x14ac:dyDescent="0.35">
      <c r="A772" t="s">
        <v>767</v>
      </c>
      <c r="B772" s="1">
        <v>45173</v>
      </c>
      <c r="C772" t="s">
        <v>18</v>
      </c>
      <c r="D772" t="s">
        <v>40</v>
      </c>
      <c r="E772" s="6">
        <v>7173</v>
      </c>
      <c r="F772">
        <v>6</v>
      </c>
      <c r="G772" t="str">
        <f>PROPER(TRIM(Table1[[#This Row],[Product]]))</f>
        <v>Headphones</v>
      </c>
      <c r="H772" t="str">
        <f>PROPER(TRIM(Table1[[#This Row],[Region]]))</f>
        <v>East</v>
      </c>
      <c r="I772" s="6">
        <f>Table1[[#This Row],[Sales]]*Table1[[#This Row],[Quantity]]</f>
        <v>43038</v>
      </c>
    </row>
    <row r="773" spans="1:9" x14ac:dyDescent="0.35">
      <c r="A773" t="s">
        <v>768</v>
      </c>
      <c r="B773" s="1">
        <v>44988</v>
      </c>
      <c r="C773" t="s">
        <v>33</v>
      </c>
      <c r="D773" t="s">
        <v>25</v>
      </c>
      <c r="E773" s="6">
        <v>30798</v>
      </c>
      <c r="F773">
        <v>5</v>
      </c>
      <c r="G773" t="str">
        <f>PROPER(TRIM(Table1[[#This Row],[Product]]))</f>
        <v>Tablet</v>
      </c>
      <c r="H773" t="str">
        <f>PROPER(TRIM(Table1[[#This Row],[Region]]))</f>
        <v>South</v>
      </c>
      <c r="I773" s="6">
        <f>Table1[[#This Row],[Sales]]*Table1[[#This Row],[Quantity]]</f>
        <v>153990</v>
      </c>
    </row>
    <row r="774" spans="1:9" x14ac:dyDescent="0.35">
      <c r="A774" t="s">
        <v>769</v>
      </c>
      <c r="B774" s="1">
        <v>44985</v>
      </c>
      <c r="C774" t="s">
        <v>30</v>
      </c>
      <c r="D774" t="s">
        <v>13</v>
      </c>
      <c r="E774" s="6">
        <v>7457</v>
      </c>
      <c r="F774">
        <v>8</v>
      </c>
      <c r="G774" t="str">
        <f>PROPER(TRIM(Table1[[#This Row],[Product]]))</f>
        <v>Laptop</v>
      </c>
      <c r="H774" t="str">
        <f>PROPER(TRIM(Table1[[#This Row],[Region]]))</f>
        <v>West</v>
      </c>
      <c r="I774" s="6">
        <f>Table1[[#This Row],[Sales]]*Table1[[#This Row],[Quantity]]</f>
        <v>59656</v>
      </c>
    </row>
    <row r="775" spans="1:9" x14ac:dyDescent="0.35">
      <c r="A775" t="s">
        <v>770</v>
      </c>
      <c r="B775" s="1">
        <v>45238</v>
      </c>
      <c r="C775" t="s">
        <v>18</v>
      </c>
      <c r="D775" t="s">
        <v>28</v>
      </c>
      <c r="E775" s="6">
        <v>23416</v>
      </c>
      <c r="F775">
        <v>3</v>
      </c>
      <c r="G775" t="str">
        <f>PROPER(TRIM(Table1[[#This Row],[Product]]))</f>
        <v>Phone</v>
      </c>
      <c r="H775" t="str">
        <f>PROPER(TRIM(Table1[[#This Row],[Region]]))</f>
        <v>East</v>
      </c>
      <c r="I775" s="6">
        <f>Table1[[#This Row],[Sales]]*Table1[[#This Row],[Quantity]]</f>
        <v>70248</v>
      </c>
    </row>
    <row r="776" spans="1:9" x14ac:dyDescent="0.35">
      <c r="A776" t="s">
        <v>771</v>
      </c>
      <c r="B776" s="1">
        <v>45188</v>
      </c>
      <c r="C776" t="s">
        <v>8</v>
      </c>
      <c r="D776" t="s">
        <v>31</v>
      </c>
      <c r="E776" s="6">
        <v>34433</v>
      </c>
      <c r="F776">
        <v>8</v>
      </c>
      <c r="G776" t="str">
        <f>PROPER(TRIM(Table1[[#This Row],[Product]]))</f>
        <v>Monitor</v>
      </c>
      <c r="H776" t="str">
        <f>PROPER(TRIM(Table1[[#This Row],[Region]]))</f>
        <v>North</v>
      </c>
      <c r="I776" s="6">
        <f>Table1[[#This Row],[Sales]]*Table1[[#This Row],[Quantity]]</f>
        <v>275464</v>
      </c>
    </row>
    <row r="777" spans="1:9" x14ac:dyDescent="0.35">
      <c r="A777" t="s">
        <v>772</v>
      </c>
      <c r="B777" s="1">
        <v>45022</v>
      </c>
      <c r="C777" t="s">
        <v>8</v>
      </c>
      <c r="D777" t="s">
        <v>28</v>
      </c>
      <c r="E777" s="6">
        <v>13361</v>
      </c>
      <c r="F777">
        <v>2</v>
      </c>
      <c r="G777" t="str">
        <f>PROPER(TRIM(Table1[[#This Row],[Product]]))</f>
        <v>Phone</v>
      </c>
      <c r="H777" t="str">
        <f>PROPER(TRIM(Table1[[#This Row],[Region]]))</f>
        <v>North</v>
      </c>
      <c r="I777" s="6">
        <f>Table1[[#This Row],[Sales]]*Table1[[#This Row],[Quantity]]</f>
        <v>26722</v>
      </c>
    </row>
    <row r="778" spans="1:9" x14ac:dyDescent="0.35">
      <c r="A778" t="s">
        <v>773</v>
      </c>
      <c r="B778" s="1">
        <v>45149</v>
      </c>
      <c r="C778" t="s">
        <v>18</v>
      </c>
      <c r="D778" t="s">
        <v>13</v>
      </c>
      <c r="E778" s="6">
        <v>5326</v>
      </c>
      <c r="F778">
        <v>4</v>
      </c>
      <c r="G778" t="str">
        <f>PROPER(TRIM(Table1[[#This Row],[Product]]))</f>
        <v>Laptop</v>
      </c>
      <c r="H778" t="str">
        <f>PROPER(TRIM(Table1[[#This Row],[Region]]))</f>
        <v>East</v>
      </c>
      <c r="I778" s="6">
        <f>Table1[[#This Row],[Sales]]*Table1[[#This Row],[Quantity]]</f>
        <v>21304</v>
      </c>
    </row>
    <row r="779" spans="1:9" x14ac:dyDescent="0.35">
      <c r="A779" t="s">
        <v>774</v>
      </c>
      <c r="B779" s="1">
        <v>45049</v>
      </c>
      <c r="C779" t="s">
        <v>30</v>
      </c>
      <c r="D779" t="s">
        <v>31</v>
      </c>
      <c r="E779" s="6">
        <v>18633</v>
      </c>
      <c r="F779">
        <v>6</v>
      </c>
      <c r="G779" t="str">
        <f>PROPER(TRIM(Table1[[#This Row],[Product]]))</f>
        <v>Monitor</v>
      </c>
      <c r="H779" t="str">
        <f>PROPER(TRIM(Table1[[#This Row],[Region]]))</f>
        <v>West</v>
      </c>
      <c r="I779" s="6">
        <f>Table1[[#This Row],[Sales]]*Table1[[#This Row],[Quantity]]</f>
        <v>111798</v>
      </c>
    </row>
    <row r="780" spans="1:9" x14ac:dyDescent="0.35">
      <c r="A780" t="s">
        <v>775</v>
      </c>
      <c r="B780" s="1">
        <v>45166</v>
      </c>
      <c r="C780" t="s">
        <v>18</v>
      </c>
      <c r="D780" t="s">
        <v>25</v>
      </c>
      <c r="E780" s="6">
        <v>9658</v>
      </c>
      <c r="F780">
        <v>2</v>
      </c>
      <c r="G780" t="str">
        <f>PROPER(TRIM(Table1[[#This Row],[Product]]))</f>
        <v>Tablet</v>
      </c>
      <c r="H780" t="str">
        <f>PROPER(TRIM(Table1[[#This Row],[Region]]))</f>
        <v>East</v>
      </c>
      <c r="I780" s="6">
        <f>Table1[[#This Row],[Sales]]*Table1[[#This Row],[Quantity]]</f>
        <v>19316</v>
      </c>
    </row>
    <row r="781" spans="1:9" x14ac:dyDescent="0.35">
      <c r="A781" t="s">
        <v>776</v>
      </c>
      <c r="B781" s="1">
        <v>45201</v>
      </c>
      <c r="C781" t="s">
        <v>8</v>
      </c>
      <c r="D781" t="s">
        <v>31</v>
      </c>
      <c r="E781" s="6">
        <v>34576</v>
      </c>
      <c r="F781">
        <v>3</v>
      </c>
      <c r="G781" t="str">
        <f>PROPER(TRIM(Table1[[#This Row],[Product]]))</f>
        <v>Monitor</v>
      </c>
      <c r="H781" t="str">
        <f>PROPER(TRIM(Table1[[#This Row],[Region]]))</f>
        <v>North</v>
      </c>
      <c r="I781" s="6">
        <f>Table1[[#This Row],[Sales]]*Table1[[#This Row],[Quantity]]</f>
        <v>103728</v>
      </c>
    </row>
    <row r="782" spans="1:9" x14ac:dyDescent="0.35">
      <c r="A782" t="s">
        <v>777</v>
      </c>
      <c r="B782" s="1">
        <v>45194</v>
      </c>
      <c r="C782" t="s">
        <v>33</v>
      </c>
      <c r="D782" t="s">
        <v>25</v>
      </c>
      <c r="E782" s="6">
        <v>3401</v>
      </c>
      <c r="F782">
        <v>4</v>
      </c>
      <c r="G782" t="str">
        <f>PROPER(TRIM(Table1[[#This Row],[Product]]))</f>
        <v>Tablet</v>
      </c>
      <c r="H782" t="str">
        <f>PROPER(TRIM(Table1[[#This Row],[Region]]))</f>
        <v>South</v>
      </c>
      <c r="I782" s="6">
        <f>Table1[[#This Row],[Sales]]*Table1[[#This Row],[Quantity]]</f>
        <v>13604</v>
      </c>
    </row>
    <row r="783" spans="1:9" x14ac:dyDescent="0.35">
      <c r="A783" t="s">
        <v>778</v>
      </c>
      <c r="B783" s="1">
        <v>44938</v>
      </c>
      <c r="C783" t="s">
        <v>18</v>
      </c>
      <c r="D783" t="s">
        <v>28</v>
      </c>
      <c r="E783" s="6">
        <v>8646</v>
      </c>
      <c r="F783">
        <v>7</v>
      </c>
      <c r="G783" t="str">
        <f>PROPER(TRIM(Table1[[#This Row],[Product]]))</f>
        <v>Phone</v>
      </c>
      <c r="H783" t="str">
        <f>PROPER(TRIM(Table1[[#This Row],[Region]]))</f>
        <v>East</v>
      </c>
      <c r="I783" s="6">
        <f>Table1[[#This Row],[Sales]]*Table1[[#This Row],[Quantity]]</f>
        <v>60522</v>
      </c>
    </row>
    <row r="784" spans="1:9" x14ac:dyDescent="0.35">
      <c r="A784" t="s">
        <v>779</v>
      </c>
      <c r="B784" s="1">
        <v>45038</v>
      </c>
      <c r="C784" t="s">
        <v>18</v>
      </c>
      <c r="D784" t="s">
        <v>25</v>
      </c>
      <c r="E784" s="6">
        <v>37645</v>
      </c>
      <c r="F784">
        <v>2</v>
      </c>
      <c r="G784" t="str">
        <f>PROPER(TRIM(Table1[[#This Row],[Product]]))</f>
        <v>Tablet</v>
      </c>
      <c r="H784" t="str">
        <f>PROPER(TRIM(Table1[[#This Row],[Region]]))</f>
        <v>East</v>
      </c>
      <c r="I784" s="6">
        <f>Table1[[#This Row],[Sales]]*Table1[[#This Row],[Quantity]]</f>
        <v>75290</v>
      </c>
    </row>
    <row r="785" spans="1:9" x14ac:dyDescent="0.35">
      <c r="A785" t="s">
        <v>780</v>
      </c>
      <c r="B785" s="1">
        <v>45255</v>
      </c>
      <c r="C785" t="s">
        <v>18</v>
      </c>
      <c r="D785" t="s">
        <v>40</v>
      </c>
      <c r="E785" s="6">
        <v>38476</v>
      </c>
      <c r="F785">
        <v>6</v>
      </c>
      <c r="G785" t="str">
        <f>PROPER(TRIM(Table1[[#This Row],[Product]]))</f>
        <v>Headphones</v>
      </c>
      <c r="H785" t="str">
        <f>PROPER(TRIM(Table1[[#This Row],[Region]]))</f>
        <v>East</v>
      </c>
      <c r="I785" s="6">
        <f>Table1[[#This Row],[Sales]]*Table1[[#This Row],[Quantity]]</f>
        <v>230856</v>
      </c>
    </row>
    <row r="786" spans="1:9" x14ac:dyDescent="0.35">
      <c r="A786" t="s">
        <v>781</v>
      </c>
      <c r="B786" s="1">
        <v>45074</v>
      </c>
      <c r="C786" t="s">
        <v>33</v>
      </c>
      <c r="D786" t="s">
        <v>31</v>
      </c>
      <c r="E786" s="6">
        <v>28304</v>
      </c>
      <c r="F786">
        <v>7</v>
      </c>
      <c r="G786" t="str">
        <f>PROPER(TRIM(Table1[[#This Row],[Product]]))</f>
        <v>Monitor</v>
      </c>
      <c r="H786" t="str">
        <f>PROPER(TRIM(Table1[[#This Row],[Region]]))</f>
        <v>South</v>
      </c>
      <c r="I786" s="6">
        <f>Table1[[#This Row],[Sales]]*Table1[[#This Row],[Quantity]]</f>
        <v>198128</v>
      </c>
    </row>
    <row r="787" spans="1:9" x14ac:dyDescent="0.35">
      <c r="A787" t="s">
        <v>782</v>
      </c>
      <c r="B787" s="1">
        <v>45132</v>
      </c>
      <c r="C787" t="s">
        <v>30</v>
      </c>
      <c r="D787" t="s">
        <v>13</v>
      </c>
      <c r="E787" s="6">
        <v>48104</v>
      </c>
      <c r="F787">
        <v>4</v>
      </c>
      <c r="G787" t="str">
        <f>PROPER(TRIM(Table1[[#This Row],[Product]]))</f>
        <v>Laptop</v>
      </c>
      <c r="H787" t="str">
        <f>PROPER(TRIM(Table1[[#This Row],[Region]]))</f>
        <v>West</v>
      </c>
      <c r="I787" s="6">
        <f>Table1[[#This Row],[Sales]]*Table1[[#This Row],[Quantity]]</f>
        <v>192416</v>
      </c>
    </row>
    <row r="788" spans="1:9" x14ac:dyDescent="0.35">
      <c r="A788" t="s">
        <v>783</v>
      </c>
      <c r="B788" s="1">
        <v>44986</v>
      </c>
      <c r="C788" t="s">
        <v>33</v>
      </c>
      <c r="D788" t="s">
        <v>40</v>
      </c>
      <c r="E788" s="6">
        <v>26969</v>
      </c>
      <c r="F788">
        <v>3</v>
      </c>
      <c r="G788" t="str">
        <f>PROPER(TRIM(Table1[[#This Row],[Product]]))</f>
        <v>Headphones</v>
      </c>
      <c r="H788" t="str">
        <f>PROPER(TRIM(Table1[[#This Row],[Region]]))</f>
        <v>South</v>
      </c>
      <c r="I788" s="6">
        <f>Table1[[#This Row],[Sales]]*Table1[[#This Row],[Quantity]]</f>
        <v>80907</v>
      </c>
    </row>
    <row r="789" spans="1:9" x14ac:dyDescent="0.35">
      <c r="A789" t="s">
        <v>784</v>
      </c>
      <c r="B789" s="1">
        <v>45091</v>
      </c>
      <c r="C789" t="s">
        <v>8</v>
      </c>
      <c r="D789" t="s">
        <v>40</v>
      </c>
      <c r="E789" s="6">
        <v>34187</v>
      </c>
      <c r="F789">
        <v>8</v>
      </c>
      <c r="G789" t="str">
        <f>PROPER(TRIM(Table1[[#This Row],[Product]]))</f>
        <v>Headphones</v>
      </c>
      <c r="H789" t="str">
        <f>PROPER(TRIM(Table1[[#This Row],[Region]]))</f>
        <v>North</v>
      </c>
      <c r="I789" s="6">
        <f>Table1[[#This Row],[Sales]]*Table1[[#This Row],[Quantity]]</f>
        <v>273496</v>
      </c>
    </row>
    <row r="790" spans="1:9" x14ac:dyDescent="0.35">
      <c r="A790" t="s">
        <v>785</v>
      </c>
      <c r="B790" s="1">
        <v>45236</v>
      </c>
      <c r="C790" t="s">
        <v>18</v>
      </c>
      <c r="D790" t="s">
        <v>40</v>
      </c>
      <c r="E790" s="6">
        <v>23231</v>
      </c>
      <c r="F790">
        <v>6</v>
      </c>
      <c r="G790" t="str">
        <f>PROPER(TRIM(Table1[[#This Row],[Product]]))</f>
        <v>Headphones</v>
      </c>
      <c r="H790" t="str">
        <f>PROPER(TRIM(Table1[[#This Row],[Region]]))</f>
        <v>East</v>
      </c>
      <c r="I790" s="6">
        <f>Table1[[#This Row],[Sales]]*Table1[[#This Row],[Quantity]]</f>
        <v>139386</v>
      </c>
    </row>
    <row r="791" spans="1:9" x14ac:dyDescent="0.35">
      <c r="A791" t="s">
        <v>786</v>
      </c>
      <c r="B791" s="1">
        <v>45144</v>
      </c>
      <c r="C791" t="s">
        <v>18</v>
      </c>
      <c r="D791" t="s">
        <v>25</v>
      </c>
      <c r="E791" s="6">
        <v>22894</v>
      </c>
      <c r="F791">
        <v>8</v>
      </c>
      <c r="G791" t="str">
        <f>PROPER(TRIM(Table1[[#This Row],[Product]]))</f>
        <v>Tablet</v>
      </c>
      <c r="H791" t="str">
        <f>PROPER(TRIM(Table1[[#This Row],[Region]]))</f>
        <v>East</v>
      </c>
      <c r="I791" s="6">
        <f>Table1[[#This Row],[Sales]]*Table1[[#This Row],[Quantity]]</f>
        <v>183152</v>
      </c>
    </row>
    <row r="792" spans="1:9" x14ac:dyDescent="0.35">
      <c r="A792" t="s">
        <v>787</v>
      </c>
      <c r="B792" s="1">
        <v>45065</v>
      </c>
      <c r="C792" t="s">
        <v>18</v>
      </c>
      <c r="D792" t="s">
        <v>25</v>
      </c>
      <c r="E792" s="6">
        <v>39644</v>
      </c>
      <c r="F792">
        <v>1</v>
      </c>
      <c r="G792" t="str">
        <f>PROPER(TRIM(Table1[[#This Row],[Product]]))</f>
        <v>Tablet</v>
      </c>
      <c r="H792" t="str">
        <f>PROPER(TRIM(Table1[[#This Row],[Region]]))</f>
        <v>East</v>
      </c>
      <c r="I792" s="6">
        <f>Table1[[#This Row],[Sales]]*Table1[[#This Row],[Quantity]]</f>
        <v>39644</v>
      </c>
    </row>
    <row r="793" spans="1:9" x14ac:dyDescent="0.35">
      <c r="A793" t="s">
        <v>788</v>
      </c>
      <c r="B793" s="1">
        <v>45149</v>
      </c>
      <c r="C793" t="s">
        <v>33</v>
      </c>
      <c r="D793" t="s">
        <v>13</v>
      </c>
      <c r="E793" s="6">
        <v>36986</v>
      </c>
      <c r="F793">
        <v>7</v>
      </c>
      <c r="G793" t="str">
        <f>PROPER(TRIM(Table1[[#This Row],[Product]]))</f>
        <v>Laptop</v>
      </c>
      <c r="H793" t="str">
        <f>PROPER(TRIM(Table1[[#This Row],[Region]]))</f>
        <v>South</v>
      </c>
      <c r="I793" s="6">
        <f>Table1[[#This Row],[Sales]]*Table1[[#This Row],[Quantity]]</f>
        <v>258902</v>
      </c>
    </row>
    <row r="794" spans="1:9" x14ac:dyDescent="0.35">
      <c r="A794" t="s">
        <v>789</v>
      </c>
      <c r="B794" s="1">
        <v>45154</v>
      </c>
      <c r="C794" t="s">
        <v>30</v>
      </c>
      <c r="D794" t="s">
        <v>31</v>
      </c>
      <c r="E794" s="6">
        <v>36546</v>
      </c>
      <c r="F794">
        <v>9</v>
      </c>
      <c r="G794" t="str">
        <f>PROPER(TRIM(Table1[[#This Row],[Product]]))</f>
        <v>Monitor</v>
      </c>
      <c r="H794" t="str">
        <f>PROPER(TRIM(Table1[[#This Row],[Region]]))</f>
        <v>West</v>
      </c>
      <c r="I794" s="6">
        <f>Table1[[#This Row],[Sales]]*Table1[[#This Row],[Quantity]]</f>
        <v>328914</v>
      </c>
    </row>
    <row r="795" spans="1:9" x14ac:dyDescent="0.35">
      <c r="A795" t="s">
        <v>790</v>
      </c>
      <c r="B795" s="1">
        <v>44954</v>
      </c>
      <c r="C795" t="s">
        <v>33</v>
      </c>
      <c r="D795" t="s">
        <v>40</v>
      </c>
      <c r="E795" s="6">
        <v>6530</v>
      </c>
      <c r="F795">
        <v>9</v>
      </c>
      <c r="G795" t="str">
        <f>PROPER(TRIM(Table1[[#This Row],[Product]]))</f>
        <v>Headphones</v>
      </c>
      <c r="H795" t="str">
        <f>PROPER(TRIM(Table1[[#This Row],[Region]]))</f>
        <v>South</v>
      </c>
      <c r="I795" s="6">
        <f>Table1[[#This Row],[Sales]]*Table1[[#This Row],[Quantity]]</f>
        <v>58770</v>
      </c>
    </row>
    <row r="796" spans="1:9" x14ac:dyDescent="0.35">
      <c r="A796" t="s">
        <v>791</v>
      </c>
      <c r="B796" s="1">
        <v>45285</v>
      </c>
      <c r="C796" t="s">
        <v>30</v>
      </c>
      <c r="D796" t="s">
        <v>13</v>
      </c>
      <c r="E796" s="6">
        <v>21580</v>
      </c>
      <c r="F796">
        <v>5</v>
      </c>
      <c r="G796" t="str">
        <f>PROPER(TRIM(Table1[[#This Row],[Product]]))</f>
        <v>Laptop</v>
      </c>
      <c r="H796" t="str">
        <f>PROPER(TRIM(Table1[[#This Row],[Region]]))</f>
        <v>West</v>
      </c>
      <c r="I796" s="6">
        <f>Table1[[#This Row],[Sales]]*Table1[[#This Row],[Quantity]]</f>
        <v>107900</v>
      </c>
    </row>
    <row r="797" spans="1:9" x14ac:dyDescent="0.35">
      <c r="A797" t="s">
        <v>792</v>
      </c>
      <c r="B797" s="1">
        <v>45199</v>
      </c>
      <c r="C797" t="s">
        <v>30</v>
      </c>
      <c r="D797" t="s">
        <v>40</v>
      </c>
      <c r="E797" s="6">
        <v>32173</v>
      </c>
      <c r="F797">
        <v>8</v>
      </c>
      <c r="G797" t="str">
        <f>PROPER(TRIM(Table1[[#This Row],[Product]]))</f>
        <v>Headphones</v>
      </c>
      <c r="H797" t="str">
        <f>PROPER(TRIM(Table1[[#This Row],[Region]]))</f>
        <v>West</v>
      </c>
      <c r="I797" s="6">
        <f>Table1[[#This Row],[Sales]]*Table1[[#This Row],[Quantity]]</f>
        <v>257384</v>
      </c>
    </row>
    <row r="798" spans="1:9" x14ac:dyDescent="0.35">
      <c r="A798" t="s">
        <v>793</v>
      </c>
      <c r="B798" s="1">
        <v>45107</v>
      </c>
      <c r="C798" t="s">
        <v>8</v>
      </c>
      <c r="D798" t="s">
        <v>40</v>
      </c>
      <c r="E798" s="6">
        <v>19937</v>
      </c>
      <c r="F798">
        <v>8</v>
      </c>
      <c r="G798" t="str">
        <f>PROPER(TRIM(Table1[[#This Row],[Product]]))</f>
        <v>Headphones</v>
      </c>
      <c r="H798" t="str">
        <f>PROPER(TRIM(Table1[[#This Row],[Region]]))</f>
        <v>North</v>
      </c>
      <c r="I798" s="6">
        <f>Table1[[#This Row],[Sales]]*Table1[[#This Row],[Quantity]]</f>
        <v>159496</v>
      </c>
    </row>
    <row r="799" spans="1:9" x14ac:dyDescent="0.35">
      <c r="A799" t="s">
        <v>794</v>
      </c>
      <c r="B799" s="1">
        <v>45249</v>
      </c>
      <c r="C799" t="s">
        <v>8</v>
      </c>
      <c r="D799" t="s">
        <v>28</v>
      </c>
      <c r="E799" s="6">
        <v>38283</v>
      </c>
      <c r="F799">
        <v>6</v>
      </c>
      <c r="G799" t="str">
        <f>PROPER(TRIM(Table1[[#This Row],[Product]]))</f>
        <v>Phone</v>
      </c>
      <c r="H799" t="str">
        <f>PROPER(TRIM(Table1[[#This Row],[Region]]))</f>
        <v>North</v>
      </c>
      <c r="I799" s="6">
        <f>Table1[[#This Row],[Sales]]*Table1[[#This Row],[Quantity]]</f>
        <v>229698</v>
      </c>
    </row>
    <row r="800" spans="1:9" x14ac:dyDescent="0.35">
      <c r="A800" t="s">
        <v>795</v>
      </c>
      <c r="B800" s="1">
        <v>44967</v>
      </c>
      <c r="C800" t="s">
        <v>8</v>
      </c>
      <c r="D800" t="s">
        <v>28</v>
      </c>
      <c r="E800" s="6">
        <v>2484</v>
      </c>
      <c r="F800">
        <v>4</v>
      </c>
      <c r="G800" t="str">
        <f>PROPER(TRIM(Table1[[#This Row],[Product]]))</f>
        <v>Phone</v>
      </c>
      <c r="H800" t="str">
        <f>PROPER(TRIM(Table1[[#This Row],[Region]]))</f>
        <v>North</v>
      </c>
      <c r="I800" s="6">
        <f>Table1[[#This Row],[Sales]]*Table1[[#This Row],[Quantity]]</f>
        <v>9936</v>
      </c>
    </row>
    <row r="801" spans="1:9" x14ac:dyDescent="0.35">
      <c r="A801" t="s">
        <v>796</v>
      </c>
      <c r="B801" s="1">
        <v>45273</v>
      </c>
      <c r="C801" t="s">
        <v>30</v>
      </c>
      <c r="D801" t="s">
        <v>31</v>
      </c>
      <c r="E801" s="6">
        <v>19568</v>
      </c>
      <c r="F801">
        <v>4</v>
      </c>
      <c r="G801" t="str">
        <f>PROPER(TRIM(Table1[[#This Row],[Product]]))</f>
        <v>Monitor</v>
      </c>
      <c r="H801" t="str">
        <f>PROPER(TRIM(Table1[[#This Row],[Region]]))</f>
        <v>West</v>
      </c>
      <c r="I801" s="6">
        <f>Table1[[#This Row],[Sales]]*Table1[[#This Row],[Quantity]]</f>
        <v>78272</v>
      </c>
    </row>
    <row r="802" spans="1:9" x14ac:dyDescent="0.35">
      <c r="A802" t="s">
        <v>797</v>
      </c>
      <c r="B802" s="1">
        <v>44975</v>
      </c>
      <c r="C802" t="s">
        <v>18</v>
      </c>
      <c r="D802" t="s">
        <v>31</v>
      </c>
      <c r="E802" s="6">
        <v>27610</v>
      </c>
      <c r="F802">
        <v>8</v>
      </c>
      <c r="G802" t="str">
        <f>PROPER(TRIM(Table1[[#This Row],[Product]]))</f>
        <v>Monitor</v>
      </c>
      <c r="H802" t="str">
        <f>PROPER(TRIM(Table1[[#This Row],[Region]]))</f>
        <v>East</v>
      </c>
      <c r="I802" s="6">
        <f>Table1[[#This Row],[Sales]]*Table1[[#This Row],[Quantity]]</f>
        <v>220880</v>
      </c>
    </row>
    <row r="803" spans="1:9" x14ac:dyDescent="0.35">
      <c r="A803" t="s">
        <v>798</v>
      </c>
      <c r="B803" s="1">
        <v>44932</v>
      </c>
      <c r="C803" t="s">
        <v>30</v>
      </c>
      <c r="D803" t="s">
        <v>31</v>
      </c>
      <c r="E803" s="6">
        <v>31408</v>
      </c>
      <c r="F803">
        <v>5</v>
      </c>
      <c r="G803" t="str">
        <f>PROPER(TRIM(Table1[[#This Row],[Product]]))</f>
        <v>Monitor</v>
      </c>
      <c r="H803" t="str">
        <f>PROPER(TRIM(Table1[[#This Row],[Region]]))</f>
        <v>West</v>
      </c>
      <c r="I803" s="6">
        <f>Table1[[#This Row],[Sales]]*Table1[[#This Row],[Quantity]]</f>
        <v>157040</v>
      </c>
    </row>
    <row r="804" spans="1:9" x14ac:dyDescent="0.35">
      <c r="A804" t="s">
        <v>799</v>
      </c>
      <c r="B804" s="1">
        <v>45208</v>
      </c>
      <c r="C804" t="s">
        <v>18</v>
      </c>
      <c r="D804" t="s">
        <v>28</v>
      </c>
      <c r="E804" s="6">
        <v>20880</v>
      </c>
      <c r="F804">
        <v>9</v>
      </c>
      <c r="G804" t="str">
        <f>PROPER(TRIM(Table1[[#This Row],[Product]]))</f>
        <v>Phone</v>
      </c>
      <c r="H804" t="str">
        <f>PROPER(TRIM(Table1[[#This Row],[Region]]))</f>
        <v>East</v>
      </c>
      <c r="I804" s="6">
        <f>Table1[[#This Row],[Sales]]*Table1[[#This Row],[Quantity]]</f>
        <v>187920</v>
      </c>
    </row>
    <row r="805" spans="1:9" x14ac:dyDescent="0.35">
      <c r="A805" t="s">
        <v>800</v>
      </c>
      <c r="B805" s="1">
        <v>45278</v>
      </c>
      <c r="C805" t="s">
        <v>33</v>
      </c>
      <c r="D805" t="s">
        <v>40</v>
      </c>
      <c r="E805" s="6">
        <v>10464</v>
      </c>
      <c r="F805">
        <v>2</v>
      </c>
      <c r="G805" t="str">
        <f>PROPER(TRIM(Table1[[#This Row],[Product]]))</f>
        <v>Headphones</v>
      </c>
      <c r="H805" t="str">
        <f>PROPER(TRIM(Table1[[#This Row],[Region]]))</f>
        <v>South</v>
      </c>
      <c r="I805" s="6">
        <f>Table1[[#This Row],[Sales]]*Table1[[#This Row],[Quantity]]</f>
        <v>20928</v>
      </c>
    </row>
    <row r="806" spans="1:9" x14ac:dyDescent="0.35">
      <c r="A806" t="s">
        <v>801</v>
      </c>
      <c r="B806" s="1">
        <v>45091</v>
      </c>
      <c r="C806" t="s">
        <v>8</v>
      </c>
      <c r="D806" t="s">
        <v>25</v>
      </c>
      <c r="E806" s="6">
        <v>38219</v>
      </c>
      <c r="F806">
        <v>7</v>
      </c>
      <c r="G806" t="str">
        <f>PROPER(TRIM(Table1[[#This Row],[Product]]))</f>
        <v>Tablet</v>
      </c>
      <c r="H806" t="str">
        <f>PROPER(TRIM(Table1[[#This Row],[Region]]))</f>
        <v>North</v>
      </c>
      <c r="I806" s="6">
        <f>Table1[[#This Row],[Sales]]*Table1[[#This Row],[Quantity]]</f>
        <v>267533</v>
      </c>
    </row>
    <row r="807" spans="1:9" x14ac:dyDescent="0.35">
      <c r="A807" t="s">
        <v>802</v>
      </c>
      <c r="B807" s="1">
        <v>45287</v>
      </c>
      <c r="C807" t="s">
        <v>33</v>
      </c>
      <c r="D807" t="s">
        <v>28</v>
      </c>
      <c r="E807" s="6">
        <v>23271</v>
      </c>
      <c r="F807">
        <v>4</v>
      </c>
      <c r="G807" t="str">
        <f>PROPER(TRIM(Table1[[#This Row],[Product]]))</f>
        <v>Phone</v>
      </c>
      <c r="H807" t="str">
        <f>PROPER(TRIM(Table1[[#This Row],[Region]]))</f>
        <v>South</v>
      </c>
      <c r="I807" s="6">
        <f>Table1[[#This Row],[Sales]]*Table1[[#This Row],[Quantity]]</f>
        <v>93084</v>
      </c>
    </row>
    <row r="808" spans="1:9" x14ac:dyDescent="0.35">
      <c r="A808" t="s">
        <v>803</v>
      </c>
      <c r="B808" s="1">
        <v>45031</v>
      </c>
      <c r="C808" t="s">
        <v>30</v>
      </c>
      <c r="D808" t="s">
        <v>40</v>
      </c>
      <c r="E808" s="6">
        <v>38416</v>
      </c>
      <c r="F808">
        <v>7</v>
      </c>
      <c r="G808" t="str">
        <f>PROPER(TRIM(Table1[[#This Row],[Product]]))</f>
        <v>Headphones</v>
      </c>
      <c r="H808" t="str">
        <f>PROPER(TRIM(Table1[[#This Row],[Region]]))</f>
        <v>West</v>
      </c>
      <c r="I808" s="6">
        <f>Table1[[#This Row],[Sales]]*Table1[[#This Row],[Quantity]]</f>
        <v>268912</v>
      </c>
    </row>
    <row r="809" spans="1:9" x14ac:dyDescent="0.35">
      <c r="A809" t="s">
        <v>804</v>
      </c>
      <c r="B809" s="1">
        <v>44993</v>
      </c>
      <c r="C809" t="s">
        <v>30</v>
      </c>
      <c r="D809" t="s">
        <v>31</v>
      </c>
      <c r="E809" s="6">
        <v>2535</v>
      </c>
      <c r="F809">
        <v>2</v>
      </c>
      <c r="G809" t="str">
        <f>PROPER(TRIM(Table1[[#This Row],[Product]]))</f>
        <v>Monitor</v>
      </c>
      <c r="H809" t="str">
        <f>PROPER(TRIM(Table1[[#This Row],[Region]]))</f>
        <v>West</v>
      </c>
      <c r="I809" s="6">
        <f>Table1[[#This Row],[Sales]]*Table1[[#This Row],[Quantity]]</f>
        <v>5070</v>
      </c>
    </row>
    <row r="810" spans="1:9" x14ac:dyDescent="0.35">
      <c r="A810" t="s">
        <v>805</v>
      </c>
      <c r="B810" s="1">
        <v>45088</v>
      </c>
      <c r="C810" t="s">
        <v>18</v>
      </c>
      <c r="D810" t="s">
        <v>28</v>
      </c>
      <c r="E810" s="6">
        <v>18915</v>
      </c>
      <c r="F810">
        <v>10</v>
      </c>
      <c r="G810" t="str">
        <f>PROPER(TRIM(Table1[[#This Row],[Product]]))</f>
        <v>Phone</v>
      </c>
      <c r="H810" t="str">
        <f>PROPER(TRIM(Table1[[#This Row],[Region]]))</f>
        <v>East</v>
      </c>
      <c r="I810" s="6">
        <f>Table1[[#This Row],[Sales]]*Table1[[#This Row],[Quantity]]</f>
        <v>189150</v>
      </c>
    </row>
    <row r="811" spans="1:9" x14ac:dyDescent="0.35">
      <c r="A811" t="s">
        <v>806</v>
      </c>
      <c r="B811" s="1">
        <v>45000</v>
      </c>
      <c r="C811" t="s">
        <v>8</v>
      </c>
      <c r="D811" t="s">
        <v>40</v>
      </c>
      <c r="E811" s="6">
        <v>17143</v>
      </c>
      <c r="F811">
        <v>7</v>
      </c>
      <c r="G811" t="str">
        <f>PROPER(TRIM(Table1[[#This Row],[Product]]))</f>
        <v>Headphones</v>
      </c>
      <c r="H811" t="str">
        <f>PROPER(TRIM(Table1[[#This Row],[Region]]))</f>
        <v>North</v>
      </c>
      <c r="I811" s="6">
        <f>Table1[[#This Row],[Sales]]*Table1[[#This Row],[Quantity]]</f>
        <v>120001</v>
      </c>
    </row>
    <row r="812" spans="1:9" x14ac:dyDescent="0.35">
      <c r="A812" t="s">
        <v>807</v>
      </c>
      <c r="B812" s="1">
        <v>45194</v>
      </c>
      <c r="C812" t="s">
        <v>33</v>
      </c>
      <c r="D812" t="s">
        <v>28</v>
      </c>
      <c r="E812" s="6">
        <v>20471</v>
      </c>
      <c r="F812">
        <v>9</v>
      </c>
      <c r="G812" t="str">
        <f>PROPER(TRIM(Table1[[#This Row],[Product]]))</f>
        <v>Phone</v>
      </c>
      <c r="H812" t="str">
        <f>PROPER(TRIM(Table1[[#This Row],[Region]]))</f>
        <v>South</v>
      </c>
      <c r="I812" s="6">
        <f>Table1[[#This Row],[Sales]]*Table1[[#This Row],[Quantity]]</f>
        <v>184239</v>
      </c>
    </row>
    <row r="813" spans="1:9" x14ac:dyDescent="0.35">
      <c r="A813" t="s">
        <v>808</v>
      </c>
      <c r="B813" s="1">
        <v>44976</v>
      </c>
      <c r="C813" t="s">
        <v>8</v>
      </c>
      <c r="D813" t="s">
        <v>31</v>
      </c>
      <c r="E813" s="6">
        <v>22784</v>
      </c>
      <c r="F813">
        <v>6</v>
      </c>
      <c r="G813" t="str">
        <f>PROPER(TRIM(Table1[[#This Row],[Product]]))</f>
        <v>Monitor</v>
      </c>
      <c r="H813" t="str">
        <f>PROPER(TRIM(Table1[[#This Row],[Region]]))</f>
        <v>North</v>
      </c>
      <c r="I813" s="6">
        <f>Table1[[#This Row],[Sales]]*Table1[[#This Row],[Quantity]]</f>
        <v>136704</v>
      </c>
    </row>
    <row r="814" spans="1:9" x14ac:dyDescent="0.35">
      <c r="A814" t="s">
        <v>809</v>
      </c>
      <c r="B814" s="1">
        <v>45122</v>
      </c>
      <c r="C814" t="s">
        <v>30</v>
      </c>
      <c r="D814" t="s">
        <v>28</v>
      </c>
      <c r="E814" s="6">
        <v>20996</v>
      </c>
      <c r="F814">
        <v>5</v>
      </c>
      <c r="G814" t="str">
        <f>PROPER(TRIM(Table1[[#This Row],[Product]]))</f>
        <v>Phone</v>
      </c>
      <c r="H814" t="str">
        <f>PROPER(TRIM(Table1[[#This Row],[Region]]))</f>
        <v>West</v>
      </c>
      <c r="I814" s="6">
        <f>Table1[[#This Row],[Sales]]*Table1[[#This Row],[Quantity]]</f>
        <v>104980</v>
      </c>
    </row>
    <row r="815" spans="1:9" x14ac:dyDescent="0.35">
      <c r="A815" t="s">
        <v>810</v>
      </c>
      <c r="B815" s="1">
        <v>44948</v>
      </c>
      <c r="C815" t="s">
        <v>30</v>
      </c>
      <c r="D815" t="s">
        <v>31</v>
      </c>
      <c r="E815" s="6">
        <v>4149</v>
      </c>
      <c r="F815">
        <v>3</v>
      </c>
      <c r="G815" t="str">
        <f>PROPER(TRIM(Table1[[#This Row],[Product]]))</f>
        <v>Monitor</v>
      </c>
      <c r="H815" t="str">
        <f>PROPER(TRIM(Table1[[#This Row],[Region]]))</f>
        <v>West</v>
      </c>
      <c r="I815" s="6">
        <f>Table1[[#This Row],[Sales]]*Table1[[#This Row],[Quantity]]</f>
        <v>12447</v>
      </c>
    </row>
    <row r="816" spans="1:9" x14ac:dyDescent="0.35">
      <c r="A816" t="s">
        <v>811</v>
      </c>
      <c r="B816" s="1">
        <v>45041</v>
      </c>
      <c r="C816" t="s">
        <v>33</v>
      </c>
      <c r="D816" t="s">
        <v>31</v>
      </c>
      <c r="E816" s="6">
        <v>29512</v>
      </c>
      <c r="F816">
        <v>4</v>
      </c>
      <c r="G816" t="str">
        <f>PROPER(TRIM(Table1[[#This Row],[Product]]))</f>
        <v>Monitor</v>
      </c>
      <c r="H816" t="str">
        <f>PROPER(TRIM(Table1[[#This Row],[Region]]))</f>
        <v>South</v>
      </c>
      <c r="I816" s="6">
        <f>Table1[[#This Row],[Sales]]*Table1[[#This Row],[Quantity]]</f>
        <v>118048</v>
      </c>
    </row>
    <row r="817" spans="1:9" x14ac:dyDescent="0.35">
      <c r="A817" t="s">
        <v>812</v>
      </c>
      <c r="B817" s="1">
        <v>45269</v>
      </c>
      <c r="C817" t="s">
        <v>33</v>
      </c>
      <c r="D817" t="s">
        <v>13</v>
      </c>
      <c r="E817" s="6">
        <v>6648</v>
      </c>
      <c r="F817">
        <v>10</v>
      </c>
      <c r="G817" t="str">
        <f>PROPER(TRIM(Table1[[#This Row],[Product]]))</f>
        <v>Laptop</v>
      </c>
      <c r="H817" t="str">
        <f>PROPER(TRIM(Table1[[#This Row],[Region]]))</f>
        <v>South</v>
      </c>
      <c r="I817" s="6">
        <f>Table1[[#This Row],[Sales]]*Table1[[#This Row],[Quantity]]</f>
        <v>66480</v>
      </c>
    </row>
    <row r="818" spans="1:9" x14ac:dyDescent="0.35">
      <c r="A818" t="s">
        <v>813</v>
      </c>
      <c r="B818" s="1">
        <v>45283</v>
      </c>
      <c r="C818" t="s">
        <v>8</v>
      </c>
      <c r="D818" t="s">
        <v>25</v>
      </c>
      <c r="E818" s="6">
        <v>12191</v>
      </c>
      <c r="F818">
        <v>3</v>
      </c>
      <c r="G818" t="str">
        <f>PROPER(TRIM(Table1[[#This Row],[Product]]))</f>
        <v>Tablet</v>
      </c>
      <c r="H818" t="str">
        <f>PROPER(TRIM(Table1[[#This Row],[Region]]))</f>
        <v>North</v>
      </c>
      <c r="I818" s="6">
        <f>Table1[[#This Row],[Sales]]*Table1[[#This Row],[Quantity]]</f>
        <v>36573</v>
      </c>
    </row>
    <row r="819" spans="1:9" x14ac:dyDescent="0.35">
      <c r="A819" t="s">
        <v>814</v>
      </c>
      <c r="B819" s="1">
        <v>45084</v>
      </c>
      <c r="C819" t="s">
        <v>30</v>
      </c>
      <c r="D819" t="s">
        <v>28</v>
      </c>
      <c r="E819" s="6">
        <v>5943</v>
      </c>
      <c r="F819">
        <v>9</v>
      </c>
      <c r="G819" t="str">
        <f>PROPER(TRIM(Table1[[#This Row],[Product]]))</f>
        <v>Phone</v>
      </c>
      <c r="H819" t="str">
        <f>PROPER(TRIM(Table1[[#This Row],[Region]]))</f>
        <v>West</v>
      </c>
      <c r="I819" s="6">
        <f>Table1[[#This Row],[Sales]]*Table1[[#This Row],[Quantity]]</f>
        <v>53487</v>
      </c>
    </row>
    <row r="820" spans="1:9" x14ac:dyDescent="0.35">
      <c r="A820" t="s">
        <v>815</v>
      </c>
      <c r="B820" s="1">
        <v>45044</v>
      </c>
      <c r="C820" t="s">
        <v>18</v>
      </c>
      <c r="D820" t="s">
        <v>40</v>
      </c>
      <c r="E820" s="6">
        <v>25165</v>
      </c>
      <c r="F820">
        <v>8</v>
      </c>
      <c r="G820" t="str">
        <f>PROPER(TRIM(Table1[[#This Row],[Product]]))</f>
        <v>Headphones</v>
      </c>
      <c r="H820" t="str">
        <f>PROPER(TRIM(Table1[[#This Row],[Region]]))</f>
        <v>East</v>
      </c>
      <c r="I820" s="6">
        <f>Table1[[#This Row],[Sales]]*Table1[[#This Row],[Quantity]]</f>
        <v>201320</v>
      </c>
    </row>
    <row r="821" spans="1:9" x14ac:dyDescent="0.35">
      <c r="A821" t="s">
        <v>816</v>
      </c>
      <c r="B821" s="1">
        <v>45019</v>
      </c>
      <c r="C821" t="s">
        <v>33</v>
      </c>
      <c r="D821" t="s">
        <v>28</v>
      </c>
      <c r="E821" s="6">
        <v>3889</v>
      </c>
      <c r="F821">
        <v>2</v>
      </c>
      <c r="G821" t="str">
        <f>PROPER(TRIM(Table1[[#This Row],[Product]]))</f>
        <v>Phone</v>
      </c>
      <c r="H821" t="str">
        <f>PROPER(TRIM(Table1[[#This Row],[Region]]))</f>
        <v>South</v>
      </c>
      <c r="I821" s="6">
        <f>Table1[[#This Row],[Sales]]*Table1[[#This Row],[Quantity]]</f>
        <v>7778</v>
      </c>
    </row>
    <row r="822" spans="1:9" x14ac:dyDescent="0.35">
      <c r="A822" t="s">
        <v>817</v>
      </c>
      <c r="B822" s="1">
        <v>44999</v>
      </c>
      <c r="C822" t="s">
        <v>30</v>
      </c>
      <c r="D822" t="s">
        <v>25</v>
      </c>
      <c r="E822" s="6">
        <v>27673</v>
      </c>
      <c r="F822">
        <v>9</v>
      </c>
      <c r="G822" t="str">
        <f>PROPER(TRIM(Table1[[#This Row],[Product]]))</f>
        <v>Tablet</v>
      </c>
      <c r="H822" t="str">
        <f>PROPER(TRIM(Table1[[#This Row],[Region]]))</f>
        <v>West</v>
      </c>
      <c r="I822" s="6">
        <f>Table1[[#This Row],[Sales]]*Table1[[#This Row],[Quantity]]</f>
        <v>249057</v>
      </c>
    </row>
    <row r="823" spans="1:9" x14ac:dyDescent="0.35">
      <c r="A823" t="s">
        <v>818</v>
      </c>
      <c r="B823" s="1">
        <v>44968</v>
      </c>
      <c r="C823" t="s">
        <v>33</v>
      </c>
      <c r="D823" t="s">
        <v>25</v>
      </c>
      <c r="E823" s="6">
        <v>35934</v>
      </c>
      <c r="F823">
        <v>8</v>
      </c>
      <c r="G823" t="str">
        <f>PROPER(TRIM(Table1[[#This Row],[Product]]))</f>
        <v>Tablet</v>
      </c>
      <c r="H823" t="str">
        <f>PROPER(TRIM(Table1[[#This Row],[Region]]))</f>
        <v>South</v>
      </c>
      <c r="I823" s="6">
        <f>Table1[[#This Row],[Sales]]*Table1[[#This Row],[Quantity]]</f>
        <v>287472</v>
      </c>
    </row>
    <row r="824" spans="1:9" x14ac:dyDescent="0.35">
      <c r="A824" t="s">
        <v>819</v>
      </c>
      <c r="B824" s="1">
        <v>45167</v>
      </c>
      <c r="C824" t="s">
        <v>33</v>
      </c>
      <c r="D824" t="s">
        <v>13</v>
      </c>
      <c r="E824" s="6">
        <v>12920</v>
      </c>
      <c r="F824">
        <v>6</v>
      </c>
      <c r="G824" t="str">
        <f>PROPER(TRIM(Table1[[#This Row],[Product]]))</f>
        <v>Laptop</v>
      </c>
      <c r="H824" t="str">
        <f>PROPER(TRIM(Table1[[#This Row],[Region]]))</f>
        <v>South</v>
      </c>
      <c r="I824" s="6">
        <f>Table1[[#This Row],[Sales]]*Table1[[#This Row],[Quantity]]</f>
        <v>77520</v>
      </c>
    </row>
    <row r="825" spans="1:9" x14ac:dyDescent="0.35">
      <c r="A825" t="s">
        <v>820</v>
      </c>
      <c r="B825" s="1">
        <v>45125</v>
      </c>
      <c r="C825" t="s">
        <v>18</v>
      </c>
      <c r="D825" t="s">
        <v>13</v>
      </c>
      <c r="E825" s="6">
        <v>27682</v>
      </c>
      <c r="F825">
        <v>6</v>
      </c>
      <c r="G825" t="str">
        <f>PROPER(TRIM(Table1[[#This Row],[Product]]))</f>
        <v>Laptop</v>
      </c>
      <c r="H825" t="str">
        <f>PROPER(TRIM(Table1[[#This Row],[Region]]))</f>
        <v>East</v>
      </c>
      <c r="I825" s="6">
        <f>Table1[[#This Row],[Sales]]*Table1[[#This Row],[Quantity]]</f>
        <v>166092</v>
      </c>
    </row>
    <row r="826" spans="1:9" x14ac:dyDescent="0.35">
      <c r="A826" t="s">
        <v>821</v>
      </c>
      <c r="B826" s="1">
        <v>44959</v>
      </c>
      <c r="C826" t="s">
        <v>8</v>
      </c>
      <c r="D826" t="s">
        <v>25</v>
      </c>
      <c r="E826" s="6">
        <v>44108</v>
      </c>
      <c r="F826">
        <v>3</v>
      </c>
      <c r="G826" t="str">
        <f>PROPER(TRIM(Table1[[#This Row],[Product]]))</f>
        <v>Tablet</v>
      </c>
      <c r="H826" t="str">
        <f>PROPER(TRIM(Table1[[#This Row],[Region]]))</f>
        <v>North</v>
      </c>
      <c r="I826" s="6">
        <f>Table1[[#This Row],[Sales]]*Table1[[#This Row],[Quantity]]</f>
        <v>132324</v>
      </c>
    </row>
    <row r="827" spans="1:9" x14ac:dyDescent="0.35">
      <c r="A827" t="s">
        <v>822</v>
      </c>
      <c r="B827" s="1">
        <v>45265</v>
      </c>
      <c r="C827" t="s">
        <v>8</v>
      </c>
      <c r="D827" t="s">
        <v>28</v>
      </c>
      <c r="E827" s="6">
        <v>461</v>
      </c>
      <c r="F827">
        <v>2</v>
      </c>
      <c r="G827" t="str">
        <f>PROPER(TRIM(Table1[[#This Row],[Product]]))</f>
        <v>Phone</v>
      </c>
      <c r="H827" t="str">
        <f>PROPER(TRIM(Table1[[#This Row],[Region]]))</f>
        <v>North</v>
      </c>
      <c r="I827" s="6">
        <f>Table1[[#This Row],[Sales]]*Table1[[#This Row],[Quantity]]</f>
        <v>922</v>
      </c>
    </row>
    <row r="828" spans="1:9" x14ac:dyDescent="0.35">
      <c r="A828" t="s">
        <v>823</v>
      </c>
      <c r="B828" s="1">
        <v>45199</v>
      </c>
      <c r="C828" t="s">
        <v>33</v>
      </c>
      <c r="D828" t="s">
        <v>31</v>
      </c>
      <c r="E828" s="6">
        <v>4945</v>
      </c>
      <c r="F828">
        <v>6</v>
      </c>
      <c r="G828" t="str">
        <f>PROPER(TRIM(Table1[[#This Row],[Product]]))</f>
        <v>Monitor</v>
      </c>
      <c r="H828" t="str">
        <f>PROPER(TRIM(Table1[[#This Row],[Region]]))</f>
        <v>South</v>
      </c>
      <c r="I828" s="6">
        <f>Table1[[#This Row],[Sales]]*Table1[[#This Row],[Quantity]]</f>
        <v>29670</v>
      </c>
    </row>
    <row r="829" spans="1:9" x14ac:dyDescent="0.35">
      <c r="A829" t="s">
        <v>824</v>
      </c>
      <c r="B829" s="1">
        <v>45292</v>
      </c>
      <c r="C829" t="s">
        <v>8</v>
      </c>
      <c r="D829" t="s">
        <v>13</v>
      </c>
      <c r="E829" s="6">
        <v>33829</v>
      </c>
      <c r="F829">
        <v>4</v>
      </c>
      <c r="G829" t="str">
        <f>PROPER(TRIM(Table1[[#This Row],[Product]]))</f>
        <v>Laptop</v>
      </c>
      <c r="H829" t="str">
        <f>PROPER(TRIM(Table1[[#This Row],[Region]]))</f>
        <v>North</v>
      </c>
      <c r="I829" s="6">
        <f>Table1[[#This Row],[Sales]]*Table1[[#This Row],[Quantity]]</f>
        <v>135316</v>
      </c>
    </row>
    <row r="830" spans="1:9" x14ac:dyDescent="0.35">
      <c r="A830" t="s">
        <v>825</v>
      </c>
      <c r="B830" s="1">
        <v>45223</v>
      </c>
      <c r="C830" t="s">
        <v>30</v>
      </c>
      <c r="D830" t="s">
        <v>13</v>
      </c>
      <c r="E830" s="6">
        <v>16373</v>
      </c>
      <c r="F830">
        <v>2</v>
      </c>
      <c r="G830" t="str">
        <f>PROPER(TRIM(Table1[[#This Row],[Product]]))</f>
        <v>Laptop</v>
      </c>
      <c r="H830" t="str">
        <f>PROPER(TRIM(Table1[[#This Row],[Region]]))</f>
        <v>West</v>
      </c>
      <c r="I830" s="6">
        <f>Table1[[#This Row],[Sales]]*Table1[[#This Row],[Quantity]]</f>
        <v>32746</v>
      </c>
    </row>
    <row r="831" spans="1:9" x14ac:dyDescent="0.35">
      <c r="A831" t="s">
        <v>826</v>
      </c>
      <c r="B831" s="1">
        <v>45020</v>
      </c>
      <c r="C831" t="s">
        <v>33</v>
      </c>
      <c r="D831" t="s">
        <v>25</v>
      </c>
      <c r="E831" s="6">
        <v>48349</v>
      </c>
      <c r="F831">
        <v>2</v>
      </c>
      <c r="G831" t="str">
        <f>PROPER(TRIM(Table1[[#This Row],[Product]]))</f>
        <v>Tablet</v>
      </c>
      <c r="H831" t="str">
        <f>PROPER(TRIM(Table1[[#This Row],[Region]]))</f>
        <v>South</v>
      </c>
      <c r="I831" s="6">
        <f>Table1[[#This Row],[Sales]]*Table1[[#This Row],[Quantity]]</f>
        <v>96698</v>
      </c>
    </row>
    <row r="832" spans="1:9" x14ac:dyDescent="0.35">
      <c r="A832" t="s">
        <v>827</v>
      </c>
      <c r="B832" s="1">
        <v>44937</v>
      </c>
      <c r="C832" t="s">
        <v>8</v>
      </c>
      <c r="D832" t="s">
        <v>40</v>
      </c>
      <c r="E832" s="6">
        <v>42641</v>
      </c>
      <c r="F832">
        <v>1</v>
      </c>
      <c r="G832" t="str">
        <f>PROPER(TRIM(Table1[[#This Row],[Product]]))</f>
        <v>Headphones</v>
      </c>
      <c r="H832" t="str">
        <f>PROPER(TRIM(Table1[[#This Row],[Region]]))</f>
        <v>North</v>
      </c>
      <c r="I832" s="6">
        <f>Table1[[#This Row],[Sales]]*Table1[[#This Row],[Quantity]]</f>
        <v>42641</v>
      </c>
    </row>
    <row r="833" spans="1:9" x14ac:dyDescent="0.35">
      <c r="A833" t="s">
        <v>828</v>
      </c>
      <c r="B833" s="1">
        <v>45069</v>
      </c>
      <c r="C833" t="s">
        <v>30</v>
      </c>
      <c r="D833" t="s">
        <v>13</v>
      </c>
      <c r="E833" s="6">
        <v>38841</v>
      </c>
      <c r="F833">
        <v>9</v>
      </c>
      <c r="G833" t="str">
        <f>PROPER(TRIM(Table1[[#This Row],[Product]]))</f>
        <v>Laptop</v>
      </c>
      <c r="H833" t="str">
        <f>PROPER(TRIM(Table1[[#This Row],[Region]]))</f>
        <v>West</v>
      </c>
      <c r="I833" s="6">
        <f>Table1[[#This Row],[Sales]]*Table1[[#This Row],[Quantity]]</f>
        <v>349569</v>
      </c>
    </row>
    <row r="834" spans="1:9" x14ac:dyDescent="0.35">
      <c r="A834" t="s">
        <v>829</v>
      </c>
      <c r="B834" s="1">
        <v>45180</v>
      </c>
      <c r="C834" t="s">
        <v>30</v>
      </c>
      <c r="D834" t="s">
        <v>25</v>
      </c>
      <c r="E834" s="6">
        <v>45374</v>
      </c>
      <c r="F834">
        <v>2</v>
      </c>
      <c r="G834" t="str">
        <f>PROPER(TRIM(Table1[[#This Row],[Product]]))</f>
        <v>Tablet</v>
      </c>
      <c r="H834" t="str">
        <f>PROPER(TRIM(Table1[[#This Row],[Region]]))</f>
        <v>West</v>
      </c>
      <c r="I834" s="6">
        <f>Table1[[#This Row],[Sales]]*Table1[[#This Row],[Quantity]]</f>
        <v>90748</v>
      </c>
    </row>
    <row r="835" spans="1:9" x14ac:dyDescent="0.35">
      <c r="A835" t="s">
        <v>830</v>
      </c>
      <c r="B835" s="1">
        <v>44992</v>
      </c>
      <c r="C835" t="s">
        <v>33</v>
      </c>
      <c r="D835" t="s">
        <v>13</v>
      </c>
      <c r="E835" s="6">
        <v>22588</v>
      </c>
      <c r="F835">
        <v>3</v>
      </c>
      <c r="G835" t="str">
        <f>PROPER(TRIM(Table1[[#This Row],[Product]]))</f>
        <v>Laptop</v>
      </c>
      <c r="H835" t="str">
        <f>PROPER(TRIM(Table1[[#This Row],[Region]]))</f>
        <v>South</v>
      </c>
      <c r="I835" s="6">
        <f>Table1[[#This Row],[Sales]]*Table1[[#This Row],[Quantity]]</f>
        <v>67764</v>
      </c>
    </row>
    <row r="836" spans="1:9" x14ac:dyDescent="0.35">
      <c r="A836" t="s">
        <v>831</v>
      </c>
      <c r="B836" s="1">
        <v>45089</v>
      </c>
      <c r="C836" t="s">
        <v>18</v>
      </c>
      <c r="D836" t="s">
        <v>28</v>
      </c>
      <c r="E836" s="6">
        <v>45806</v>
      </c>
      <c r="F836">
        <v>10</v>
      </c>
      <c r="G836" t="str">
        <f>PROPER(TRIM(Table1[[#This Row],[Product]]))</f>
        <v>Phone</v>
      </c>
      <c r="H836" t="str">
        <f>PROPER(TRIM(Table1[[#This Row],[Region]]))</f>
        <v>East</v>
      </c>
      <c r="I836" s="6">
        <f>Table1[[#This Row],[Sales]]*Table1[[#This Row],[Quantity]]</f>
        <v>458060</v>
      </c>
    </row>
    <row r="837" spans="1:9" x14ac:dyDescent="0.35">
      <c r="A837" t="s">
        <v>832</v>
      </c>
      <c r="B837" s="1">
        <v>45082</v>
      </c>
      <c r="C837" t="s">
        <v>18</v>
      </c>
      <c r="D837" t="s">
        <v>13</v>
      </c>
      <c r="E837" s="6">
        <v>12292</v>
      </c>
      <c r="F837">
        <v>3</v>
      </c>
      <c r="G837" t="str">
        <f>PROPER(TRIM(Table1[[#This Row],[Product]]))</f>
        <v>Laptop</v>
      </c>
      <c r="H837" t="str">
        <f>PROPER(TRIM(Table1[[#This Row],[Region]]))</f>
        <v>East</v>
      </c>
      <c r="I837" s="6">
        <f>Table1[[#This Row],[Sales]]*Table1[[#This Row],[Quantity]]</f>
        <v>36876</v>
      </c>
    </row>
    <row r="838" spans="1:9" x14ac:dyDescent="0.35">
      <c r="A838" t="s">
        <v>833</v>
      </c>
      <c r="B838" s="1">
        <v>44989</v>
      </c>
      <c r="C838" t="s">
        <v>8</v>
      </c>
      <c r="D838" t="s">
        <v>25</v>
      </c>
      <c r="E838" s="6">
        <v>22730</v>
      </c>
      <c r="F838">
        <v>9</v>
      </c>
      <c r="G838" t="str">
        <f>PROPER(TRIM(Table1[[#This Row],[Product]]))</f>
        <v>Tablet</v>
      </c>
      <c r="H838" t="str">
        <f>PROPER(TRIM(Table1[[#This Row],[Region]]))</f>
        <v>North</v>
      </c>
      <c r="I838" s="6">
        <f>Table1[[#This Row],[Sales]]*Table1[[#This Row],[Quantity]]</f>
        <v>204570</v>
      </c>
    </row>
    <row r="839" spans="1:9" x14ac:dyDescent="0.35">
      <c r="A839" t="s">
        <v>834</v>
      </c>
      <c r="B839" s="1">
        <v>45184</v>
      </c>
      <c r="C839" t="s">
        <v>18</v>
      </c>
      <c r="D839" t="s">
        <v>28</v>
      </c>
      <c r="E839" s="6">
        <v>43908</v>
      </c>
      <c r="F839">
        <v>8</v>
      </c>
      <c r="G839" t="str">
        <f>PROPER(TRIM(Table1[[#This Row],[Product]]))</f>
        <v>Phone</v>
      </c>
      <c r="H839" t="str">
        <f>PROPER(TRIM(Table1[[#This Row],[Region]]))</f>
        <v>East</v>
      </c>
      <c r="I839" s="6">
        <f>Table1[[#This Row],[Sales]]*Table1[[#This Row],[Quantity]]</f>
        <v>351264</v>
      </c>
    </row>
    <row r="840" spans="1:9" x14ac:dyDescent="0.35">
      <c r="A840" t="s">
        <v>835</v>
      </c>
      <c r="B840" s="1">
        <v>45201</v>
      </c>
      <c r="C840" t="s">
        <v>8</v>
      </c>
      <c r="D840" t="s">
        <v>28</v>
      </c>
      <c r="E840" s="6">
        <v>41634</v>
      </c>
      <c r="F840">
        <v>4</v>
      </c>
      <c r="G840" t="str">
        <f>PROPER(TRIM(Table1[[#This Row],[Product]]))</f>
        <v>Phone</v>
      </c>
      <c r="H840" t="str">
        <f>PROPER(TRIM(Table1[[#This Row],[Region]]))</f>
        <v>North</v>
      </c>
      <c r="I840" s="6">
        <f>Table1[[#This Row],[Sales]]*Table1[[#This Row],[Quantity]]</f>
        <v>166536</v>
      </c>
    </row>
    <row r="841" spans="1:9" x14ac:dyDescent="0.35">
      <c r="A841" t="s">
        <v>836</v>
      </c>
      <c r="B841" s="1">
        <v>45258</v>
      </c>
      <c r="C841" t="s">
        <v>33</v>
      </c>
      <c r="D841" t="s">
        <v>28</v>
      </c>
      <c r="E841" s="6">
        <v>35794</v>
      </c>
      <c r="F841">
        <v>8</v>
      </c>
      <c r="G841" t="str">
        <f>PROPER(TRIM(Table1[[#This Row],[Product]]))</f>
        <v>Phone</v>
      </c>
      <c r="H841" t="str">
        <f>PROPER(TRIM(Table1[[#This Row],[Region]]))</f>
        <v>South</v>
      </c>
      <c r="I841" s="6">
        <f>Table1[[#This Row],[Sales]]*Table1[[#This Row],[Quantity]]</f>
        <v>286352</v>
      </c>
    </row>
    <row r="842" spans="1:9" x14ac:dyDescent="0.35">
      <c r="A842" t="s">
        <v>837</v>
      </c>
      <c r="B842" s="1">
        <v>45275</v>
      </c>
      <c r="C842" t="s">
        <v>8</v>
      </c>
      <c r="D842" t="s">
        <v>31</v>
      </c>
      <c r="E842" s="6">
        <v>47405</v>
      </c>
      <c r="F842">
        <v>10</v>
      </c>
      <c r="G842" t="str">
        <f>PROPER(TRIM(Table1[[#This Row],[Product]]))</f>
        <v>Monitor</v>
      </c>
      <c r="H842" t="str">
        <f>PROPER(TRIM(Table1[[#This Row],[Region]]))</f>
        <v>North</v>
      </c>
      <c r="I842" s="6">
        <f>Table1[[#This Row],[Sales]]*Table1[[#This Row],[Quantity]]</f>
        <v>474050</v>
      </c>
    </row>
    <row r="843" spans="1:9" x14ac:dyDescent="0.35">
      <c r="A843" t="s">
        <v>838</v>
      </c>
      <c r="B843" s="1">
        <v>45179</v>
      </c>
      <c r="C843" t="s">
        <v>18</v>
      </c>
      <c r="D843" t="s">
        <v>40</v>
      </c>
      <c r="E843" s="6">
        <v>29388</v>
      </c>
      <c r="F843">
        <v>4</v>
      </c>
      <c r="G843" t="str">
        <f>PROPER(TRIM(Table1[[#This Row],[Product]]))</f>
        <v>Headphones</v>
      </c>
      <c r="H843" t="str">
        <f>PROPER(TRIM(Table1[[#This Row],[Region]]))</f>
        <v>East</v>
      </c>
      <c r="I843" s="6">
        <f>Table1[[#This Row],[Sales]]*Table1[[#This Row],[Quantity]]</f>
        <v>117552</v>
      </c>
    </row>
    <row r="844" spans="1:9" x14ac:dyDescent="0.35">
      <c r="A844" t="s">
        <v>839</v>
      </c>
      <c r="B844" s="1">
        <v>45201</v>
      </c>
      <c r="C844" t="s">
        <v>8</v>
      </c>
      <c r="D844" t="s">
        <v>13</v>
      </c>
      <c r="E844" s="6">
        <v>35557</v>
      </c>
      <c r="F844">
        <v>5</v>
      </c>
      <c r="G844" t="str">
        <f>PROPER(TRIM(Table1[[#This Row],[Product]]))</f>
        <v>Laptop</v>
      </c>
      <c r="H844" t="str">
        <f>PROPER(TRIM(Table1[[#This Row],[Region]]))</f>
        <v>North</v>
      </c>
      <c r="I844" s="6">
        <f>Table1[[#This Row],[Sales]]*Table1[[#This Row],[Quantity]]</f>
        <v>177785</v>
      </c>
    </row>
    <row r="845" spans="1:9" x14ac:dyDescent="0.35">
      <c r="A845" t="s">
        <v>840</v>
      </c>
      <c r="B845" s="1">
        <v>45004</v>
      </c>
      <c r="C845" t="s">
        <v>8</v>
      </c>
      <c r="D845" t="s">
        <v>28</v>
      </c>
      <c r="E845" s="6">
        <v>27891</v>
      </c>
      <c r="F845">
        <v>4</v>
      </c>
      <c r="G845" t="str">
        <f>PROPER(TRIM(Table1[[#This Row],[Product]]))</f>
        <v>Phone</v>
      </c>
      <c r="H845" t="str">
        <f>PROPER(TRIM(Table1[[#This Row],[Region]]))</f>
        <v>North</v>
      </c>
      <c r="I845" s="6">
        <f>Table1[[#This Row],[Sales]]*Table1[[#This Row],[Quantity]]</f>
        <v>111564</v>
      </c>
    </row>
    <row r="846" spans="1:9" x14ac:dyDescent="0.35">
      <c r="A846" t="s">
        <v>841</v>
      </c>
      <c r="B846" s="1">
        <v>45053</v>
      </c>
      <c r="C846" t="s">
        <v>30</v>
      </c>
      <c r="D846" t="s">
        <v>25</v>
      </c>
      <c r="E846" s="6">
        <v>8349</v>
      </c>
      <c r="F846">
        <v>1</v>
      </c>
      <c r="G846" t="str">
        <f>PROPER(TRIM(Table1[[#This Row],[Product]]))</f>
        <v>Tablet</v>
      </c>
      <c r="H846" t="str">
        <f>PROPER(TRIM(Table1[[#This Row],[Region]]))</f>
        <v>West</v>
      </c>
      <c r="I846" s="6">
        <f>Table1[[#This Row],[Sales]]*Table1[[#This Row],[Quantity]]</f>
        <v>8349</v>
      </c>
    </row>
    <row r="847" spans="1:9" x14ac:dyDescent="0.35">
      <c r="A847" t="s">
        <v>842</v>
      </c>
      <c r="B847" s="1">
        <v>45263</v>
      </c>
      <c r="C847" t="s">
        <v>30</v>
      </c>
      <c r="D847" t="s">
        <v>31</v>
      </c>
      <c r="E847" s="6">
        <v>45390</v>
      </c>
      <c r="F847">
        <v>1</v>
      </c>
      <c r="G847" t="str">
        <f>PROPER(TRIM(Table1[[#This Row],[Product]]))</f>
        <v>Monitor</v>
      </c>
      <c r="H847" t="str">
        <f>PROPER(TRIM(Table1[[#This Row],[Region]]))</f>
        <v>West</v>
      </c>
      <c r="I847" s="6">
        <f>Table1[[#This Row],[Sales]]*Table1[[#This Row],[Quantity]]</f>
        <v>45390</v>
      </c>
    </row>
    <row r="848" spans="1:9" x14ac:dyDescent="0.35">
      <c r="A848" t="s">
        <v>843</v>
      </c>
      <c r="B848" s="1">
        <v>45134</v>
      </c>
      <c r="C848" t="s">
        <v>30</v>
      </c>
      <c r="D848" t="s">
        <v>40</v>
      </c>
      <c r="E848" s="6">
        <v>36331</v>
      </c>
      <c r="F848">
        <v>8</v>
      </c>
      <c r="G848" t="str">
        <f>PROPER(TRIM(Table1[[#This Row],[Product]]))</f>
        <v>Headphones</v>
      </c>
      <c r="H848" t="str">
        <f>PROPER(TRIM(Table1[[#This Row],[Region]]))</f>
        <v>West</v>
      </c>
      <c r="I848" s="6">
        <f>Table1[[#This Row],[Sales]]*Table1[[#This Row],[Quantity]]</f>
        <v>290648</v>
      </c>
    </row>
    <row r="849" spans="1:9" x14ac:dyDescent="0.35">
      <c r="A849" t="s">
        <v>844</v>
      </c>
      <c r="B849" s="1">
        <v>45028</v>
      </c>
      <c r="C849" t="s">
        <v>18</v>
      </c>
      <c r="D849" t="s">
        <v>28</v>
      </c>
      <c r="E849" s="6">
        <v>48003</v>
      </c>
      <c r="F849">
        <v>3</v>
      </c>
      <c r="G849" t="str">
        <f>PROPER(TRIM(Table1[[#This Row],[Product]]))</f>
        <v>Phone</v>
      </c>
      <c r="H849" t="str">
        <f>PROPER(TRIM(Table1[[#This Row],[Region]]))</f>
        <v>East</v>
      </c>
      <c r="I849" s="6">
        <f>Table1[[#This Row],[Sales]]*Table1[[#This Row],[Quantity]]</f>
        <v>144009</v>
      </c>
    </row>
    <row r="850" spans="1:9" x14ac:dyDescent="0.35">
      <c r="A850" t="s">
        <v>845</v>
      </c>
      <c r="B850" s="1">
        <v>45042</v>
      </c>
      <c r="C850" t="s">
        <v>18</v>
      </c>
      <c r="D850" t="s">
        <v>31</v>
      </c>
      <c r="E850" s="6">
        <v>9568</v>
      </c>
      <c r="F850">
        <v>4</v>
      </c>
      <c r="G850" t="str">
        <f>PROPER(TRIM(Table1[[#This Row],[Product]]))</f>
        <v>Monitor</v>
      </c>
      <c r="H850" t="str">
        <f>PROPER(TRIM(Table1[[#This Row],[Region]]))</f>
        <v>East</v>
      </c>
      <c r="I850" s="6">
        <f>Table1[[#This Row],[Sales]]*Table1[[#This Row],[Quantity]]</f>
        <v>38272</v>
      </c>
    </row>
    <row r="851" spans="1:9" x14ac:dyDescent="0.35">
      <c r="A851" t="s">
        <v>846</v>
      </c>
      <c r="B851" s="1">
        <v>45225</v>
      </c>
      <c r="C851" t="s">
        <v>33</v>
      </c>
      <c r="D851" t="s">
        <v>28</v>
      </c>
      <c r="E851" s="6">
        <v>33066</v>
      </c>
      <c r="F851">
        <v>8</v>
      </c>
      <c r="G851" t="str">
        <f>PROPER(TRIM(Table1[[#This Row],[Product]]))</f>
        <v>Phone</v>
      </c>
      <c r="H851" t="str">
        <f>PROPER(TRIM(Table1[[#This Row],[Region]]))</f>
        <v>South</v>
      </c>
      <c r="I851" s="6">
        <f>Table1[[#This Row],[Sales]]*Table1[[#This Row],[Quantity]]</f>
        <v>264528</v>
      </c>
    </row>
    <row r="852" spans="1:9" x14ac:dyDescent="0.35">
      <c r="A852" t="s">
        <v>847</v>
      </c>
      <c r="B852" s="1">
        <v>44980</v>
      </c>
      <c r="C852" t="s">
        <v>30</v>
      </c>
      <c r="D852" t="s">
        <v>40</v>
      </c>
      <c r="E852" s="6">
        <v>23542</v>
      </c>
      <c r="F852">
        <v>10</v>
      </c>
      <c r="G852" t="str">
        <f>PROPER(TRIM(Table1[[#This Row],[Product]]))</f>
        <v>Headphones</v>
      </c>
      <c r="H852" t="str">
        <f>PROPER(TRIM(Table1[[#This Row],[Region]]))</f>
        <v>West</v>
      </c>
      <c r="I852" s="6">
        <f>Table1[[#This Row],[Sales]]*Table1[[#This Row],[Quantity]]</f>
        <v>235420</v>
      </c>
    </row>
    <row r="853" spans="1:9" x14ac:dyDescent="0.35">
      <c r="A853" t="s">
        <v>848</v>
      </c>
      <c r="B853" s="1">
        <v>45014</v>
      </c>
      <c r="C853" t="s">
        <v>18</v>
      </c>
      <c r="D853" t="s">
        <v>31</v>
      </c>
      <c r="E853" s="6">
        <v>41937</v>
      </c>
      <c r="F853">
        <v>6</v>
      </c>
      <c r="G853" t="str">
        <f>PROPER(TRIM(Table1[[#This Row],[Product]]))</f>
        <v>Monitor</v>
      </c>
      <c r="H853" t="str">
        <f>PROPER(TRIM(Table1[[#This Row],[Region]]))</f>
        <v>East</v>
      </c>
      <c r="I853" s="6">
        <f>Table1[[#This Row],[Sales]]*Table1[[#This Row],[Quantity]]</f>
        <v>251622</v>
      </c>
    </row>
    <row r="854" spans="1:9" x14ac:dyDescent="0.35">
      <c r="A854" t="s">
        <v>849</v>
      </c>
      <c r="B854" s="1">
        <v>44942</v>
      </c>
      <c r="C854" t="s">
        <v>18</v>
      </c>
      <c r="D854" t="s">
        <v>25</v>
      </c>
      <c r="E854" s="6">
        <v>46334</v>
      </c>
      <c r="F854">
        <v>3</v>
      </c>
      <c r="G854" t="str">
        <f>PROPER(TRIM(Table1[[#This Row],[Product]]))</f>
        <v>Tablet</v>
      </c>
      <c r="H854" t="str">
        <f>PROPER(TRIM(Table1[[#This Row],[Region]]))</f>
        <v>East</v>
      </c>
      <c r="I854" s="6">
        <f>Table1[[#This Row],[Sales]]*Table1[[#This Row],[Quantity]]</f>
        <v>139002</v>
      </c>
    </row>
    <row r="855" spans="1:9" x14ac:dyDescent="0.35">
      <c r="A855" t="s">
        <v>850</v>
      </c>
      <c r="B855" s="1">
        <v>45226</v>
      </c>
      <c r="C855" t="s">
        <v>8</v>
      </c>
      <c r="D855" t="s">
        <v>28</v>
      </c>
      <c r="E855" s="6">
        <v>45669</v>
      </c>
      <c r="F855">
        <v>2</v>
      </c>
      <c r="G855" t="str">
        <f>PROPER(TRIM(Table1[[#This Row],[Product]]))</f>
        <v>Phone</v>
      </c>
      <c r="H855" t="str">
        <f>PROPER(TRIM(Table1[[#This Row],[Region]]))</f>
        <v>North</v>
      </c>
      <c r="I855" s="6">
        <f>Table1[[#This Row],[Sales]]*Table1[[#This Row],[Quantity]]</f>
        <v>91338</v>
      </c>
    </row>
    <row r="856" spans="1:9" x14ac:dyDescent="0.35">
      <c r="A856" t="s">
        <v>851</v>
      </c>
      <c r="B856" s="1">
        <v>45078</v>
      </c>
      <c r="C856" t="s">
        <v>18</v>
      </c>
      <c r="D856" t="s">
        <v>40</v>
      </c>
      <c r="E856" s="6">
        <v>46582</v>
      </c>
      <c r="F856">
        <v>1</v>
      </c>
      <c r="G856" t="str">
        <f>PROPER(TRIM(Table1[[#This Row],[Product]]))</f>
        <v>Headphones</v>
      </c>
      <c r="H856" t="str">
        <f>PROPER(TRIM(Table1[[#This Row],[Region]]))</f>
        <v>East</v>
      </c>
      <c r="I856" s="6">
        <f>Table1[[#This Row],[Sales]]*Table1[[#This Row],[Quantity]]</f>
        <v>46582</v>
      </c>
    </row>
    <row r="857" spans="1:9" x14ac:dyDescent="0.35">
      <c r="A857" t="s">
        <v>852</v>
      </c>
      <c r="B857" s="1">
        <v>45046</v>
      </c>
      <c r="C857" t="s">
        <v>33</v>
      </c>
      <c r="D857" t="s">
        <v>28</v>
      </c>
      <c r="E857" s="6">
        <v>10294</v>
      </c>
      <c r="F857">
        <v>7</v>
      </c>
      <c r="G857" t="str">
        <f>PROPER(TRIM(Table1[[#This Row],[Product]]))</f>
        <v>Phone</v>
      </c>
      <c r="H857" t="str">
        <f>PROPER(TRIM(Table1[[#This Row],[Region]]))</f>
        <v>South</v>
      </c>
      <c r="I857" s="6">
        <f>Table1[[#This Row],[Sales]]*Table1[[#This Row],[Quantity]]</f>
        <v>72058</v>
      </c>
    </row>
    <row r="858" spans="1:9" x14ac:dyDescent="0.35">
      <c r="A858" t="s">
        <v>853</v>
      </c>
      <c r="B858" s="1">
        <v>44960</v>
      </c>
      <c r="C858" t="s">
        <v>8</v>
      </c>
      <c r="D858" t="s">
        <v>28</v>
      </c>
      <c r="E858" s="6">
        <v>11353</v>
      </c>
      <c r="F858">
        <v>10</v>
      </c>
      <c r="G858" t="str">
        <f>PROPER(TRIM(Table1[[#This Row],[Product]]))</f>
        <v>Phone</v>
      </c>
      <c r="H858" t="str">
        <f>PROPER(TRIM(Table1[[#This Row],[Region]]))</f>
        <v>North</v>
      </c>
      <c r="I858" s="6">
        <f>Table1[[#This Row],[Sales]]*Table1[[#This Row],[Quantity]]</f>
        <v>113530</v>
      </c>
    </row>
    <row r="859" spans="1:9" x14ac:dyDescent="0.35">
      <c r="A859" t="s">
        <v>854</v>
      </c>
      <c r="B859" s="1">
        <v>45206</v>
      </c>
      <c r="C859" t="s">
        <v>8</v>
      </c>
      <c r="D859" t="s">
        <v>40</v>
      </c>
      <c r="E859" s="6">
        <v>37500</v>
      </c>
      <c r="F859">
        <v>9</v>
      </c>
      <c r="G859" t="str">
        <f>PROPER(TRIM(Table1[[#This Row],[Product]]))</f>
        <v>Headphones</v>
      </c>
      <c r="H859" t="str">
        <f>PROPER(TRIM(Table1[[#This Row],[Region]]))</f>
        <v>North</v>
      </c>
      <c r="I859" s="6">
        <f>Table1[[#This Row],[Sales]]*Table1[[#This Row],[Quantity]]</f>
        <v>337500</v>
      </c>
    </row>
    <row r="860" spans="1:9" x14ac:dyDescent="0.35">
      <c r="A860" t="s">
        <v>855</v>
      </c>
      <c r="B860" s="1">
        <v>45265</v>
      </c>
      <c r="C860" t="s">
        <v>18</v>
      </c>
      <c r="D860" t="s">
        <v>31</v>
      </c>
      <c r="E860" s="6">
        <v>23941</v>
      </c>
      <c r="F860">
        <v>4</v>
      </c>
      <c r="G860" t="str">
        <f>PROPER(TRIM(Table1[[#This Row],[Product]]))</f>
        <v>Monitor</v>
      </c>
      <c r="H860" t="str">
        <f>PROPER(TRIM(Table1[[#This Row],[Region]]))</f>
        <v>East</v>
      </c>
      <c r="I860" s="6">
        <f>Table1[[#This Row],[Sales]]*Table1[[#This Row],[Quantity]]</f>
        <v>95764</v>
      </c>
    </row>
    <row r="861" spans="1:9" x14ac:dyDescent="0.35">
      <c r="A861" t="s">
        <v>856</v>
      </c>
      <c r="B861" s="1">
        <v>45148</v>
      </c>
      <c r="C861" t="s">
        <v>18</v>
      </c>
      <c r="D861" t="s">
        <v>31</v>
      </c>
      <c r="E861" s="6">
        <v>17702</v>
      </c>
      <c r="F861">
        <v>6</v>
      </c>
      <c r="G861" t="str">
        <f>PROPER(TRIM(Table1[[#This Row],[Product]]))</f>
        <v>Monitor</v>
      </c>
      <c r="H861" t="str">
        <f>PROPER(TRIM(Table1[[#This Row],[Region]]))</f>
        <v>East</v>
      </c>
      <c r="I861" s="6">
        <f>Table1[[#This Row],[Sales]]*Table1[[#This Row],[Quantity]]</f>
        <v>106212</v>
      </c>
    </row>
    <row r="862" spans="1:9" x14ac:dyDescent="0.35">
      <c r="A862" t="s">
        <v>857</v>
      </c>
      <c r="B862" s="1">
        <v>45203</v>
      </c>
      <c r="C862" t="s">
        <v>18</v>
      </c>
      <c r="D862" t="s">
        <v>13</v>
      </c>
      <c r="E862" s="6">
        <v>46162</v>
      </c>
      <c r="F862">
        <v>4</v>
      </c>
      <c r="G862" t="str">
        <f>PROPER(TRIM(Table1[[#This Row],[Product]]))</f>
        <v>Laptop</v>
      </c>
      <c r="H862" t="str">
        <f>PROPER(TRIM(Table1[[#This Row],[Region]]))</f>
        <v>East</v>
      </c>
      <c r="I862" s="6">
        <f>Table1[[#This Row],[Sales]]*Table1[[#This Row],[Quantity]]</f>
        <v>184648</v>
      </c>
    </row>
    <row r="863" spans="1:9" x14ac:dyDescent="0.35">
      <c r="A863" t="s">
        <v>858</v>
      </c>
      <c r="B863" s="1">
        <v>45099</v>
      </c>
      <c r="C863" t="s">
        <v>18</v>
      </c>
      <c r="D863" t="s">
        <v>25</v>
      </c>
      <c r="E863" s="6">
        <v>34637</v>
      </c>
      <c r="F863">
        <v>1</v>
      </c>
      <c r="G863" t="str">
        <f>PROPER(TRIM(Table1[[#This Row],[Product]]))</f>
        <v>Tablet</v>
      </c>
      <c r="H863" t="str">
        <f>PROPER(TRIM(Table1[[#This Row],[Region]]))</f>
        <v>East</v>
      </c>
      <c r="I863" s="6">
        <f>Table1[[#This Row],[Sales]]*Table1[[#This Row],[Quantity]]</f>
        <v>34637</v>
      </c>
    </row>
    <row r="864" spans="1:9" x14ac:dyDescent="0.35">
      <c r="A864" t="s">
        <v>859</v>
      </c>
      <c r="B864" s="1">
        <v>45084</v>
      </c>
      <c r="C864" t="s">
        <v>18</v>
      </c>
      <c r="D864" t="s">
        <v>28</v>
      </c>
      <c r="E864" s="6">
        <v>14031</v>
      </c>
      <c r="F864">
        <v>3</v>
      </c>
      <c r="G864" t="str">
        <f>PROPER(TRIM(Table1[[#This Row],[Product]]))</f>
        <v>Phone</v>
      </c>
      <c r="H864" t="str">
        <f>PROPER(TRIM(Table1[[#This Row],[Region]]))</f>
        <v>East</v>
      </c>
      <c r="I864" s="6">
        <f>Table1[[#This Row],[Sales]]*Table1[[#This Row],[Quantity]]</f>
        <v>42093</v>
      </c>
    </row>
    <row r="865" spans="1:9" x14ac:dyDescent="0.35">
      <c r="A865" t="s">
        <v>860</v>
      </c>
      <c r="B865" s="1">
        <v>44936</v>
      </c>
      <c r="C865" t="s">
        <v>30</v>
      </c>
      <c r="D865" t="s">
        <v>40</v>
      </c>
      <c r="E865" s="6">
        <v>41617</v>
      </c>
      <c r="F865">
        <v>3</v>
      </c>
      <c r="G865" t="str">
        <f>PROPER(TRIM(Table1[[#This Row],[Product]]))</f>
        <v>Headphones</v>
      </c>
      <c r="H865" t="str">
        <f>PROPER(TRIM(Table1[[#This Row],[Region]]))</f>
        <v>West</v>
      </c>
      <c r="I865" s="6">
        <f>Table1[[#This Row],[Sales]]*Table1[[#This Row],[Quantity]]</f>
        <v>124851</v>
      </c>
    </row>
    <row r="866" spans="1:9" x14ac:dyDescent="0.35">
      <c r="A866" t="s">
        <v>861</v>
      </c>
      <c r="B866" s="1">
        <v>45009</v>
      </c>
      <c r="C866" t="s">
        <v>8</v>
      </c>
      <c r="D866" t="s">
        <v>25</v>
      </c>
      <c r="E866" s="6">
        <v>9973</v>
      </c>
      <c r="F866">
        <v>2</v>
      </c>
      <c r="G866" t="str">
        <f>PROPER(TRIM(Table1[[#This Row],[Product]]))</f>
        <v>Tablet</v>
      </c>
      <c r="H866" t="str">
        <f>PROPER(TRIM(Table1[[#This Row],[Region]]))</f>
        <v>North</v>
      </c>
      <c r="I866" s="6">
        <f>Table1[[#This Row],[Sales]]*Table1[[#This Row],[Quantity]]</f>
        <v>19946</v>
      </c>
    </row>
    <row r="867" spans="1:9" x14ac:dyDescent="0.35">
      <c r="A867" t="s">
        <v>862</v>
      </c>
      <c r="B867" s="1">
        <v>45188</v>
      </c>
      <c r="C867" t="s">
        <v>33</v>
      </c>
      <c r="D867" t="s">
        <v>25</v>
      </c>
      <c r="E867" s="6">
        <v>2430</v>
      </c>
      <c r="F867">
        <v>5</v>
      </c>
      <c r="G867" t="str">
        <f>PROPER(TRIM(Table1[[#This Row],[Product]]))</f>
        <v>Tablet</v>
      </c>
      <c r="H867" t="str">
        <f>PROPER(TRIM(Table1[[#This Row],[Region]]))</f>
        <v>South</v>
      </c>
      <c r="I867" s="6">
        <f>Table1[[#This Row],[Sales]]*Table1[[#This Row],[Quantity]]</f>
        <v>12150</v>
      </c>
    </row>
    <row r="868" spans="1:9" x14ac:dyDescent="0.35">
      <c r="A868" t="s">
        <v>863</v>
      </c>
      <c r="B868" s="1">
        <v>45135</v>
      </c>
      <c r="C868" t="s">
        <v>18</v>
      </c>
      <c r="D868" t="s">
        <v>25</v>
      </c>
      <c r="E868" s="6">
        <v>8942</v>
      </c>
      <c r="F868">
        <v>3</v>
      </c>
      <c r="G868" t="str">
        <f>PROPER(TRIM(Table1[[#This Row],[Product]]))</f>
        <v>Tablet</v>
      </c>
      <c r="H868" t="str">
        <f>PROPER(TRIM(Table1[[#This Row],[Region]]))</f>
        <v>East</v>
      </c>
      <c r="I868" s="6">
        <f>Table1[[#This Row],[Sales]]*Table1[[#This Row],[Quantity]]</f>
        <v>26826</v>
      </c>
    </row>
    <row r="869" spans="1:9" x14ac:dyDescent="0.35">
      <c r="A869" t="s">
        <v>864</v>
      </c>
      <c r="B869" s="1">
        <v>45236</v>
      </c>
      <c r="C869" t="s">
        <v>33</v>
      </c>
      <c r="D869" t="s">
        <v>13</v>
      </c>
      <c r="E869" s="6">
        <v>2475</v>
      </c>
      <c r="F869">
        <v>10</v>
      </c>
      <c r="G869" t="str">
        <f>PROPER(TRIM(Table1[[#This Row],[Product]]))</f>
        <v>Laptop</v>
      </c>
      <c r="H869" t="str">
        <f>PROPER(TRIM(Table1[[#This Row],[Region]]))</f>
        <v>South</v>
      </c>
      <c r="I869" s="6">
        <f>Table1[[#This Row],[Sales]]*Table1[[#This Row],[Quantity]]</f>
        <v>24750</v>
      </c>
    </row>
    <row r="870" spans="1:9" x14ac:dyDescent="0.35">
      <c r="A870" t="s">
        <v>865</v>
      </c>
      <c r="B870" s="1">
        <v>45159</v>
      </c>
      <c r="C870" t="s">
        <v>18</v>
      </c>
      <c r="D870" t="s">
        <v>40</v>
      </c>
      <c r="E870" s="6">
        <v>35154</v>
      </c>
      <c r="F870">
        <v>7</v>
      </c>
      <c r="G870" t="str">
        <f>PROPER(TRIM(Table1[[#This Row],[Product]]))</f>
        <v>Headphones</v>
      </c>
      <c r="H870" t="str">
        <f>PROPER(TRIM(Table1[[#This Row],[Region]]))</f>
        <v>East</v>
      </c>
      <c r="I870" s="6">
        <f>Table1[[#This Row],[Sales]]*Table1[[#This Row],[Quantity]]</f>
        <v>246078</v>
      </c>
    </row>
    <row r="871" spans="1:9" x14ac:dyDescent="0.35">
      <c r="A871" t="s">
        <v>866</v>
      </c>
      <c r="B871" s="1">
        <v>45217</v>
      </c>
      <c r="C871" t="s">
        <v>8</v>
      </c>
      <c r="D871" t="s">
        <v>25</v>
      </c>
      <c r="E871" s="6">
        <v>15032</v>
      </c>
      <c r="F871">
        <v>7</v>
      </c>
      <c r="G871" t="str">
        <f>PROPER(TRIM(Table1[[#This Row],[Product]]))</f>
        <v>Tablet</v>
      </c>
      <c r="H871" t="str">
        <f>PROPER(TRIM(Table1[[#This Row],[Region]]))</f>
        <v>North</v>
      </c>
      <c r="I871" s="6">
        <f>Table1[[#This Row],[Sales]]*Table1[[#This Row],[Quantity]]</f>
        <v>105224</v>
      </c>
    </row>
    <row r="872" spans="1:9" x14ac:dyDescent="0.35">
      <c r="A872" t="s">
        <v>867</v>
      </c>
      <c r="B872" s="1">
        <v>45134</v>
      </c>
      <c r="C872" t="s">
        <v>30</v>
      </c>
      <c r="D872" t="s">
        <v>28</v>
      </c>
      <c r="E872" s="6">
        <v>36260</v>
      </c>
      <c r="F872">
        <v>3</v>
      </c>
      <c r="G872" t="str">
        <f>PROPER(TRIM(Table1[[#This Row],[Product]]))</f>
        <v>Phone</v>
      </c>
      <c r="H872" t="str">
        <f>PROPER(TRIM(Table1[[#This Row],[Region]]))</f>
        <v>West</v>
      </c>
      <c r="I872" s="6">
        <f>Table1[[#This Row],[Sales]]*Table1[[#This Row],[Quantity]]</f>
        <v>108780</v>
      </c>
    </row>
    <row r="873" spans="1:9" x14ac:dyDescent="0.35">
      <c r="A873" t="s">
        <v>868</v>
      </c>
      <c r="B873" s="1">
        <v>45040</v>
      </c>
      <c r="C873" t="s">
        <v>18</v>
      </c>
      <c r="D873" t="s">
        <v>40</v>
      </c>
      <c r="E873" s="6">
        <v>19705</v>
      </c>
      <c r="F873">
        <v>1</v>
      </c>
      <c r="G873" t="str">
        <f>PROPER(TRIM(Table1[[#This Row],[Product]]))</f>
        <v>Headphones</v>
      </c>
      <c r="H873" t="str">
        <f>PROPER(TRIM(Table1[[#This Row],[Region]]))</f>
        <v>East</v>
      </c>
      <c r="I873" s="6">
        <f>Table1[[#This Row],[Sales]]*Table1[[#This Row],[Quantity]]</f>
        <v>19705</v>
      </c>
    </row>
    <row r="874" spans="1:9" x14ac:dyDescent="0.35">
      <c r="A874" t="s">
        <v>869</v>
      </c>
      <c r="B874" s="1">
        <v>44932</v>
      </c>
      <c r="C874" t="s">
        <v>18</v>
      </c>
      <c r="D874" t="s">
        <v>13</v>
      </c>
      <c r="E874" s="6">
        <v>20238</v>
      </c>
      <c r="F874">
        <v>4</v>
      </c>
      <c r="G874" t="str">
        <f>PROPER(TRIM(Table1[[#This Row],[Product]]))</f>
        <v>Laptop</v>
      </c>
      <c r="H874" t="str">
        <f>PROPER(TRIM(Table1[[#This Row],[Region]]))</f>
        <v>East</v>
      </c>
      <c r="I874" s="6">
        <f>Table1[[#This Row],[Sales]]*Table1[[#This Row],[Quantity]]</f>
        <v>80952</v>
      </c>
    </row>
    <row r="875" spans="1:9" x14ac:dyDescent="0.35">
      <c r="A875" t="s">
        <v>870</v>
      </c>
      <c r="B875" s="1">
        <v>45089</v>
      </c>
      <c r="C875" t="s">
        <v>30</v>
      </c>
      <c r="D875" t="s">
        <v>28</v>
      </c>
      <c r="E875" s="6">
        <v>48013</v>
      </c>
      <c r="F875">
        <v>6</v>
      </c>
      <c r="G875" t="str">
        <f>PROPER(TRIM(Table1[[#This Row],[Product]]))</f>
        <v>Phone</v>
      </c>
      <c r="H875" t="str">
        <f>PROPER(TRIM(Table1[[#This Row],[Region]]))</f>
        <v>West</v>
      </c>
      <c r="I875" s="6">
        <f>Table1[[#This Row],[Sales]]*Table1[[#This Row],[Quantity]]</f>
        <v>288078</v>
      </c>
    </row>
    <row r="876" spans="1:9" x14ac:dyDescent="0.35">
      <c r="A876" t="s">
        <v>871</v>
      </c>
      <c r="B876" s="1">
        <v>45259</v>
      </c>
      <c r="C876" t="s">
        <v>30</v>
      </c>
      <c r="D876" t="s">
        <v>40</v>
      </c>
      <c r="E876" s="6">
        <v>4641</v>
      </c>
      <c r="F876">
        <v>7</v>
      </c>
      <c r="G876" t="str">
        <f>PROPER(TRIM(Table1[[#This Row],[Product]]))</f>
        <v>Headphones</v>
      </c>
      <c r="H876" t="str">
        <f>PROPER(TRIM(Table1[[#This Row],[Region]]))</f>
        <v>West</v>
      </c>
      <c r="I876" s="6">
        <f>Table1[[#This Row],[Sales]]*Table1[[#This Row],[Quantity]]</f>
        <v>32487</v>
      </c>
    </row>
    <row r="877" spans="1:9" x14ac:dyDescent="0.35">
      <c r="A877" t="s">
        <v>871</v>
      </c>
      <c r="B877" s="1">
        <v>45259</v>
      </c>
      <c r="C877" t="s">
        <v>30</v>
      </c>
      <c r="D877" t="s">
        <v>40</v>
      </c>
      <c r="E877" s="6">
        <v>4641</v>
      </c>
      <c r="F877">
        <v>7</v>
      </c>
      <c r="G877" t="str">
        <f>PROPER(TRIM(Table1[[#This Row],[Product]]))</f>
        <v>Headphones</v>
      </c>
      <c r="H877" t="str">
        <f>PROPER(TRIM(Table1[[#This Row],[Region]]))</f>
        <v>West</v>
      </c>
      <c r="I877" s="6">
        <f>Table1[[#This Row],[Sales]]*Table1[[#This Row],[Quantity]]</f>
        <v>32487</v>
      </c>
    </row>
    <row r="878" spans="1:9" x14ac:dyDescent="0.35">
      <c r="A878" t="s">
        <v>872</v>
      </c>
      <c r="B878" s="1">
        <v>45019</v>
      </c>
      <c r="C878" t="s">
        <v>33</v>
      </c>
      <c r="D878" t="s">
        <v>40</v>
      </c>
      <c r="E878" s="6">
        <v>17966</v>
      </c>
      <c r="F878">
        <v>9</v>
      </c>
      <c r="G878" t="str">
        <f>PROPER(TRIM(Table1[[#This Row],[Product]]))</f>
        <v>Headphones</v>
      </c>
      <c r="H878" t="str">
        <f>PROPER(TRIM(Table1[[#This Row],[Region]]))</f>
        <v>South</v>
      </c>
      <c r="I878" s="6">
        <f>Table1[[#This Row],[Sales]]*Table1[[#This Row],[Quantity]]</f>
        <v>161694</v>
      </c>
    </row>
    <row r="879" spans="1:9" x14ac:dyDescent="0.35">
      <c r="A879" t="s">
        <v>873</v>
      </c>
      <c r="B879" s="1">
        <v>45224</v>
      </c>
      <c r="C879" t="s">
        <v>8</v>
      </c>
      <c r="D879" t="s">
        <v>25</v>
      </c>
      <c r="E879" s="6">
        <v>48829</v>
      </c>
      <c r="F879">
        <v>2</v>
      </c>
      <c r="G879" t="str">
        <f>PROPER(TRIM(Table1[[#This Row],[Product]]))</f>
        <v>Tablet</v>
      </c>
      <c r="H879" t="str">
        <f>PROPER(TRIM(Table1[[#This Row],[Region]]))</f>
        <v>North</v>
      </c>
      <c r="I879" s="6">
        <f>Table1[[#This Row],[Sales]]*Table1[[#This Row],[Quantity]]</f>
        <v>97658</v>
      </c>
    </row>
    <row r="880" spans="1:9" x14ac:dyDescent="0.35">
      <c r="A880" t="s">
        <v>874</v>
      </c>
      <c r="B880" s="1">
        <v>45014</v>
      </c>
      <c r="C880" t="s">
        <v>8</v>
      </c>
      <c r="D880" t="s">
        <v>13</v>
      </c>
      <c r="E880" s="6">
        <v>43591</v>
      </c>
      <c r="F880">
        <v>6</v>
      </c>
      <c r="G880" t="str">
        <f>PROPER(TRIM(Table1[[#This Row],[Product]]))</f>
        <v>Laptop</v>
      </c>
      <c r="H880" t="str">
        <f>PROPER(TRIM(Table1[[#This Row],[Region]]))</f>
        <v>North</v>
      </c>
      <c r="I880" s="6">
        <f>Table1[[#This Row],[Sales]]*Table1[[#This Row],[Quantity]]</f>
        <v>261546</v>
      </c>
    </row>
    <row r="881" spans="1:9" x14ac:dyDescent="0.35">
      <c r="A881" t="s">
        <v>875</v>
      </c>
      <c r="B881" s="1">
        <v>45195</v>
      </c>
      <c r="C881" t="s">
        <v>8</v>
      </c>
      <c r="D881" t="s">
        <v>25</v>
      </c>
      <c r="E881" s="6">
        <v>31198</v>
      </c>
      <c r="F881">
        <v>10</v>
      </c>
      <c r="G881" t="str">
        <f>PROPER(TRIM(Table1[[#This Row],[Product]]))</f>
        <v>Tablet</v>
      </c>
      <c r="H881" t="str">
        <f>PROPER(TRIM(Table1[[#This Row],[Region]]))</f>
        <v>North</v>
      </c>
      <c r="I881" s="6">
        <f>Table1[[#This Row],[Sales]]*Table1[[#This Row],[Quantity]]</f>
        <v>311980</v>
      </c>
    </row>
    <row r="882" spans="1:9" x14ac:dyDescent="0.35">
      <c r="A882" t="s">
        <v>876</v>
      </c>
      <c r="B882" s="1">
        <v>45150</v>
      </c>
      <c r="C882" t="s">
        <v>18</v>
      </c>
      <c r="D882" t="s">
        <v>40</v>
      </c>
      <c r="E882" s="6">
        <v>7684</v>
      </c>
      <c r="F882">
        <v>2</v>
      </c>
      <c r="G882" t="str">
        <f>PROPER(TRIM(Table1[[#This Row],[Product]]))</f>
        <v>Headphones</v>
      </c>
      <c r="H882" t="str">
        <f>PROPER(TRIM(Table1[[#This Row],[Region]]))</f>
        <v>East</v>
      </c>
      <c r="I882" s="6">
        <f>Table1[[#This Row],[Sales]]*Table1[[#This Row],[Quantity]]</f>
        <v>15368</v>
      </c>
    </row>
    <row r="883" spans="1:9" x14ac:dyDescent="0.35">
      <c r="A883" t="s">
        <v>877</v>
      </c>
      <c r="B883" s="1">
        <v>45014</v>
      </c>
      <c r="C883" t="s">
        <v>8</v>
      </c>
      <c r="D883" t="s">
        <v>25</v>
      </c>
      <c r="E883" s="6">
        <v>9587</v>
      </c>
      <c r="F883">
        <v>7</v>
      </c>
      <c r="G883" t="str">
        <f>PROPER(TRIM(Table1[[#This Row],[Product]]))</f>
        <v>Tablet</v>
      </c>
      <c r="H883" t="str">
        <f>PROPER(TRIM(Table1[[#This Row],[Region]]))</f>
        <v>North</v>
      </c>
      <c r="I883" s="6">
        <f>Table1[[#This Row],[Sales]]*Table1[[#This Row],[Quantity]]</f>
        <v>67109</v>
      </c>
    </row>
    <row r="884" spans="1:9" x14ac:dyDescent="0.35">
      <c r="A884" t="s">
        <v>878</v>
      </c>
      <c r="B884" s="1">
        <v>45222</v>
      </c>
      <c r="C884" t="s">
        <v>18</v>
      </c>
      <c r="D884" t="s">
        <v>40</v>
      </c>
      <c r="E884" s="6">
        <v>18735</v>
      </c>
      <c r="F884">
        <v>3</v>
      </c>
      <c r="G884" t="str">
        <f>PROPER(TRIM(Table1[[#This Row],[Product]]))</f>
        <v>Headphones</v>
      </c>
      <c r="H884" t="str">
        <f>PROPER(TRIM(Table1[[#This Row],[Region]]))</f>
        <v>East</v>
      </c>
      <c r="I884" s="6">
        <f>Table1[[#This Row],[Sales]]*Table1[[#This Row],[Quantity]]</f>
        <v>56205</v>
      </c>
    </row>
    <row r="885" spans="1:9" x14ac:dyDescent="0.35">
      <c r="A885" t="s">
        <v>879</v>
      </c>
      <c r="B885" s="1">
        <v>45102</v>
      </c>
      <c r="C885" t="s">
        <v>33</v>
      </c>
      <c r="D885" t="s">
        <v>40</v>
      </c>
      <c r="E885" s="6">
        <v>7629</v>
      </c>
      <c r="F885">
        <v>3</v>
      </c>
      <c r="G885" t="str">
        <f>PROPER(TRIM(Table1[[#This Row],[Product]]))</f>
        <v>Headphones</v>
      </c>
      <c r="H885" t="str">
        <f>PROPER(TRIM(Table1[[#This Row],[Region]]))</f>
        <v>South</v>
      </c>
      <c r="I885" s="6">
        <f>Table1[[#This Row],[Sales]]*Table1[[#This Row],[Quantity]]</f>
        <v>22887</v>
      </c>
    </row>
    <row r="886" spans="1:9" x14ac:dyDescent="0.35">
      <c r="A886" t="s">
        <v>880</v>
      </c>
      <c r="B886" s="1">
        <v>44936</v>
      </c>
      <c r="C886" t="s">
        <v>8</v>
      </c>
      <c r="D886" t="s">
        <v>31</v>
      </c>
      <c r="E886" s="6">
        <v>15752</v>
      </c>
      <c r="F886">
        <v>8</v>
      </c>
      <c r="G886" t="str">
        <f>PROPER(TRIM(Table1[[#This Row],[Product]]))</f>
        <v>Monitor</v>
      </c>
      <c r="H886" t="str">
        <f>PROPER(TRIM(Table1[[#This Row],[Region]]))</f>
        <v>North</v>
      </c>
      <c r="I886" s="6">
        <f>Table1[[#This Row],[Sales]]*Table1[[#This Row],[Quantity]]</f>
        <v>126016</v>
      </c>
    </row>
    <row r="887" spans="1:9" x14ac:dyDescent="0.35">
      <c r="A887" t="s">
        <v>881</v>
      </c>
      <c r="B887" s="1">
        <v>45139</v>
      </c>
      <c r="C887" t="s">
        <v>8</v>
      </c>
      <c r="D887" t="s">
        <v>25</v>
      </c>
      <c r="E887" s="6">
        <v>19830</v>
      </c>
      <c r="F887">
        <v>5</v>
      </c>
      <c r="G887" t="str">
        <f>PROPER(TRIM(Table1[[#This Row],[Product]]))</f>
        <v>Tablet</v>
      </c>
      <c r="H887" t="str">
        <f>PROPER(TRIM(Table1[[#This Row],[Region]]))</f>
        <v>North</v>
      </c>
      <c r="I887" s="6">
        <f>Table1[[#This Row],[Sales]]*Table1[[#This Row],[Quantity]]</f>
        <v>99150</v>
      </c>
    </row>
    <row r="888" spans="1:9" x14ac:dyDescent="0.35">
      <c r="A888" t="s">
        <v>882</v>
      </c>
      <c r="B888" s="1">
        <v>45154</v>
      </c>
      <c r="C888" t="s">
        <v>33</v>
      </c>
      <c r="D888" t="s">
        <v>13</v>
      </c>
      <c r="E888" s="6">
        <v>36321</v>
      </c>
      <c r="F888">
        <v>5</v>
      </c>
      <c r="G888" t="str">
        <f>PROPER(TRIM(Table1[[#This Row],[Product]]))</f>
        <v>Laptop</v>
      </c>
      <c r="H888" t="str">
        <f>PROPER(TRIM(Table1[[#This Row],[Region]]))</f>
        <v>South</v>
      </c>
      <c r="I888" s="6">
        <f>Table1[[#This Row],[Sales]]*Table1[[#This Row],[Quantity]]</f>
        <v>181605</v>
      </c>
    </row>
    <row r="889" spans="1:9" x14ac:dyDescent="0.35">
      <c r="A889" t="s">
        <v>883</v>
      </c>
      <c r="B889" s="1">
        <v>45062</v>
      </c>
      <c r="C889" t="s">
        <v>33</v>
      </c>
      <c r="D889" t="s">
        <v>40</v>
      </c>
      <c r="E889" s="6">
        <v>40875</v>
      </c>
      <c r="F889">
        <v>7</v>
      </c>
      <c r="G889" t="str">
        <f>PROPER(TRIM(Table1[[#This Row],[Product]]))</f>
        <v>Headphones</v>
      </c>
      <c r="H889" t="str">
        <f>PROPER(TRIM(Table1[[#This Row],[Region]]))</f>
        <v>South</v>
      </c>
      <c r="I889" s="6">
        <f>Table1[[#This Row],[Sales]]*Table1[[#This Row],[Quantity]]</f>
        <v>286125</v>
      </c>
    </row>
    <row r="890" spans="1:9" x14ac:dyDescent="0.35">
      <c r="A890" t="s">
        <v>884</v>
      </c>
      <c r="B890" s="1">
        <v>45051</v>
      </c>
      <c r="C890" t="s">
        <v>33</v>
      </c>
      <c r="D890" t="s">
        <v>13</v>
      </c>
      <c r="E890" s="6">
        <v>42829</v>
      </c>
      <c r="F890">
        <v>7</v>
      </c>
      <c r="G890" t="str">
        <f>PROPER(TRIM(Table1[[#This Row],[Product]]))</f>
        <v>Laptop</v>
      </c>
      <c r="H890" t="str">
        <f>PROPER(TRIM(Table1[[#This Row],[Region]]))</f>
        <v>South</v>
      </c>
      <c r="I890" s="6">
        <f>Table1[[#This Row],[Sales]]*Table1[[#This Row],[Quantity]]</f>
        <v>299803</v>
      </c>
    </row>
    <row r="891" spans="1:9" x14ac:dyDescent="0.35">
      <c r="A891" t="s">
        <v>885</v>
      </c>
      <c r="B891" s="1">
        <v>45153</v>
      </c>
      <c r="C891" t="s">
        <v>33</v>
      </c>
      <c r="D891" t="s">
        <v>13</v>
      </c>
      <c r="E891" s="6">
        <v>36896</v>
      </c>
      <c r="F891">
        <v>9</v>
      </c>
      <c r="G891" t="str">
        <f>PROPER(TRIM(Table1[[#This Row],[Product]]))</f>
        <v>Laptop</v>
      </c>
      <c r="H891" t="str">
        <f>PROPER(TRIM(Table1[[#This Row],[Region]]))</f>
        <v>South</v>
      </c>
      <c r="I891" s="6">
        <f>Table1[[#This Row],[Sales]]*Table1[[#This Row],[Quantity]]</f>
        <v>332064</v>
      </c>
    </row>
    <row r="892" spans="1:9" x14ac:dyDescent="0.35">
      <c r="A892" t="s">
        <v>886</v>
      </c>
      <c r="B892" s="1">
        <v>45190</v>
      </c>
      <c r="C892" t="s">
        <v>30</v>
      </c>
      <c r="D892" t="s">
        <v>25</v>
      </c>
      <c r="E892" s="6">
        <v>41622</v>
      </c>
      <c r="F892">
        <v>8</v>
      </c>
      <c r="G892" t="str">
        <f>PROPER(TRIM(Table1[[#This Row],[Product]]))</f>
        <v>Tablet</v>
      </c>
      <c r="H892" t="str">
        <f>PROPER(TRIM(Table1[[#This Row],[Region]]))</f>
        <v>West</v>
      </c>
      <c r="I892" s="6">
        <f>Table1[[#This Row],[Sales]]*Table1[[#This Row],[Quantity]]</f>
        <v>332976</v>
      </c>
    </row>
    <row r="893" spans="1:9" x14ac:dyDescent="0.35">
      <c r="A893" t="s">
        <v>887</v>
      </c>
      <c r="B893" s="1">
        <v>45225</v>
      </c>
      <c r="C893" t="s">
        <v>8</v>
      </c>
      <c r="D893" t="s">
        <v>40</v>
      </c>
      <c r="E893" s="6">
        <v>43143</v>
      </c>
      <c r="F893">
        <v>6</v>
      </c>
      <c r="G893" t="str">
        <f>PROPER(TRIM(Table1[[#This Row],[Product]]))</f>
        <v>Headphones</v>
      </c>
      <c r="H893" t="str">
        <f>PROPER(TRIM(Table1[[#This Row],[Region]]))</f>
        <v>North</v>
      </c>
      <c r="I893" s="6">
        <f>Table1[[#This Row],[Sales]]*Table1[[#This Row],[Quantity]]</f>
        <v>258858</v>
      </c>
    </row>
    <row r="894" spans="1:9" x14ac:dyDescent="0.35">
      <c r="A894" t="s">
        <v>888</v>
      </c>
      <c r="B894" s="1">
        <v>45105</v>
      </c>
      <c r="C894" t="s">
        <v>33</v>
      </c>
      <c r="D894" t="s">
        <v>40</v>
      </c>
      <c r="E894" s="6">
        <v>33538</v>
      </c>
      <c r="F894">
        <v>8</v>
      </c>
      <c r="G894" t="str">
        <f>PROPER(TRIM(Table1[[#This Row],[Product]]))</f>
        <v>Headphones</v>
      </c>
      <c r="H894" t="str">
        <f>PROPER(TRIM(Table1[[#This Row],[Region]]))</f>
        <v>South</v>
      </c>
      <c r="I894" s="6">
        <f>Table1[[#This Row],[Sales]]*Table1[[#This Row],[Quantity]]</f>
        <v>268304</v>
      </c>
    </row>
    <row r="895" spans="1:9" x14ac:dyDescent="0.35">
      <c r="A895" t="s">
        <v>889</v>
      </c>
      <c r="B895" s="1">
        <v>44947</v>
      </c>
      <c r="C895" t="s">
        <v>18</v>
      </c>
      <c r="D895" t="s">
        <v>25</v>
      </c>
      <c r="E895" s="6">
        <v>4403</v>
      </c>
      <c r="F895">
        <v>7</v>
      </c>
      <c r="G895" t="str">
        <f>PROPER(TRIM(Table1[[#This Row],[Product]]))</f>
        <v>Tablet</v>
      </c>
      <c r="H895" t="str">
        <f>PROPER(TRIM(Table1[[#This Row],[Region]]))</f>
        <v>East</v>
      </c>
      <c r="I895" s="6">
        <f>Table1[[#This Row],[Sales]]*Table1[[#This Row],[Quantity]]</f>
        <v>30821</v>
      </c>
    </row>
    <row r="896" spans="1:9" x14ac:dyDescent="0.35">
      <c r="A896" t="s">
        <v>890</v>
      </c>
      <c r="B896" s="1">
        <v>44990</v>
      </c>
      <c r="C896" t="s">
        <v>33</v>
      </c>
      <c r="D896" t="s">
        <v>25</v>
      </c>
      <c r="E896" s="6">
        <v>29730</v>
      </c>
      <c r="F896">
        <v>3</v>
      </c>
      <c r="G896" t="str">
        <f>PROPER(TRIM(Table1[[#This Row],[Product]]))</f>
        <v>Tablet</v>
      </c>
      <c r="H896" t="str">
        <f>PROPER(TRIM(Table1[[#This Row],[Region]]))</f>
        <v>South</v>
      </c>
      <c r="I896" s="6">
        <f>Table1[[#This Row],[Sales]]*Table1[[#This Row],[Quantity]]</f>
        <v>89190</v>
      </c>
    </row>
    <row r="897" spans="1:9" x14ac:dyDescent="0.35">
      <c r="A897" t="s">
        <v>891</v>
      </c>
      <c r="B897" s="1">
        <v>45273</v>
      </c>
      <c r="C897" t="s">
        <v>8</v>
      </c>
      <c r="D897" t="s">
        <v>13</v>
      </c>
      <c r="E897" s="6">
        <v>37783</v>
      </c>
      <c r="F897">
        <v>3</v>
      </c>
      <c r="G897" t="str">
        <f>PROPER(TRIM(Table1[[#This Row],[Product]]))</f>
        <v>Laptop</v>
      </c>
      <c r="H897" t="str">
        <f>PROPER(TRIM(Table1[[#This Row],[Region]]))</f>
        <v>North</v>
      </c>
      <c r="I897" s="6">
        <f>Table1[[#This Row],[Sales]]*Table1[[#This Row],[Quantity]]</f>
        <v>113349</v>
      </c>
    </row>
    <row r="898" spans="1:9" x14ac:dyDescent="0.35">
      <c r="A898" t="s">
        <v>892</v>
      </c>
      <c r="B898" s="1">
        <v>45225</v>
      </c>
      <c r="C898" t="s">
        <v>18</v>
      </c>
      <c r="D898" t="s">
        <v>28</v>
      </c>
      <c r="E898" s="6">
        <v>43054</v>
      </c>
      <c r="F898">
        <v>4</v>
      </c>
      <c r="G898" t="str">
        <f>PROPER(TRIM(Table1[[#This Row],[Product]]))</f>
        <v>Phone</v>
      </c>
      <c r="H898" t="str">
        <f>PROPER(TRIM(Table1[[#This Row],[Region]]))</f>
        <v>East</v>
      </c>
      <c r="I898" s="6">
        <f>Table1[[#This Row],[Sales]]*Table1[[#This Row],[Quantity]]</f>
        <v>172216</v>
      </c>
    </row>
    <row r="899" spans="1:9" x14ac:dyDescent="0.35">
      <c r="A899" t="s">
        <v>893</v>
      </c>
      <c r="B899" s="1">
        <v>45225</v>
      </c>
      <c r="C899" t="s">
        <v>18</v>
      </c>
      <c r="D899" t="s">
        <v>25</v>
      </c>
      <c r="E899" s="6">
        <v>36355</v>
      </c>
      <c r="F899">
        <v>8</v>
      </c>
      <c r="G899" t="str">
        <f>PROPER(TRIM(Table1[[#This Row],[Product]]))</f>
        <v>Tablet</v>
      </c>
      <c r="H899" t="str">
        <f>PROPER(TRIM(Table1[[#This Row],[Region]]))</f>
        <v>East</v>
      </c>
      <c r="I899" s="6">
        <f>Table1[[#This Row],[Sales]]*Table1[[#This Row],[Quantity]]</f>
        <v>290840</v>
      </c>
    </row>
    <row r="900" spans="1:9" x14ac:dyDescent="0.35">
      <c r="A900" t="s">
        <v>894</v>
      </c>
      <c r="B900" s="1">
        <v>45210</v>
      </c>
      <c r="C900" t="s">
        <v>30</v>
      </c>
      <c r="D900" t="s">
        <v>25</v>
      </c>
      <c r="E900" s="6">
        <v>36033</v>
      </c>
      <c r="F900">
        <v>6</v>
      </c>
      <c r="G900" t="str">
        <f>PROPER(TRIM(Table1[[#This Row],[Product]]))</f>
        <v>Tablet</v>
      </c>
      <c r="H900" t="str">
        <f>PROPER(TRIM(Table1[[#This Row],[Region]]))</f>
        <v>West</v>
      </c>
      <c r="I900" s="6">
        <f>Table1[[#This Row],[Sales]]*Table1[[#This Row],[Quantity]]</f>
        <v>216198</v>
      </c>
    </row>
    <row r="901" spans="1:9" x14ac:dyDescent="0.35">
      <c r="A901" t="s">
        <v>894</v>
      </c>
      <c r="B901" s="1">
        <v>45210</v>
      </c>
      <c r="C901" t="s">
        <v>30</v>
      </c>
      <c r="D901" t="s">
        <v>25</v>
      </c>
      <c r="E901" s="6">
        <v>36033</v>
      </c>
      <c r="F901">
        <v>6</v>
      </c>
      <c r="G901" t="str">
        <f>PROPER(TRIM(Table1[[#This Row],[Product]]))</f>
        <v>Tablet</v>
      </c>
      <c r="H901" t="str">
        <f>PROPER(TRIM(Table1[[#This Row],[Region]]))</f>
        <v>West</v>
      </c>
      <c r="I901" s="6">
        <f>Table1[[#This Row],[Sales]]*Table1[[#This Row],[Quantity]]</f>
        <v>216198</v>
      </c>
    </row>
    <row r="902" spans="1:9" x14ac:dyDescent="0.35">
      <c r="A902" t="s">
        <v>895</v>
      </c>
      <c r="B902" s="1">
        <v>45066</v>
      </c>
      <c r="C902" t="s">
        <v>8</v>
      </c>
      <c r="D902" t="s">
        <v>40</v>
      </c>
      <c r="E902" s="6">
        <v>20809</v>
      </c>
      <c r="F902">
        <v>9</v>
      </c>
      <c r="G902" t="str">
        <f>PROPER(TRIM(Table1[[#This Row],[Product]]))</f>
        <v>Headphones</v>
      </c>
      <c r="H902" t="str">
        <f>PROPER(TRIM(Table1[[#This Row],[Region]]))</f>
        <v>North</v>
      </c>
      <c r="I902" s="6">
        <f>Table1[[#This Row],[Sales]]*Table1[[#This Row],[Quantity]]</f>
        <v>187281</v>
      </c>
    </row>
    <row r="903" spans="1:9" x14ac:dyDescent="0.35">
      <c r="A903" t="s">
        <v>896</v>
      </c>
      <c r="B903" s="1">
        <v>45104</v>
      </c>
      <c r="C903" t="s">
        <v>8</v>
      </c>
      <c r="D903" t="s">
        <v>13</v>
      </c>
      <c r="E903" s="6">
        <v>45808</v>
      </c>
      <c r="F903">
        <v>10</v>
      </c>
      <c r="G903" t="str">
        <f>PROPER(TRIM(Table1[[#This Row],[Product]]))</f>
        <v>Laptop</v>
      </c>
      <c r="H903" t="str">
        <f>PROPER(TRIM(Table1[[#This Row],[Region]]))</f>
        <v>North</v>
      </c>
      <c r="I903" s="6">
        <f>Table1[[#This Row],[Sales]]*Table1[[#This Row],[Quantity]]</f>
        <v>458080</v>
      </c>
    </row>
    <row r="904" spans="1:9" x14ac:dyDescent="0.35">
      <c r="A904" t="s">
        <v>897</v>
      </c>
      <c r="B904" s="1">
        <v>45266</v>
      </c>
      <c r="C904" t="s">
        <v>33</v>
      </c>
      <c r="D904" t="s">
        <v>40</v>
      </c>
      <c r="E904" s="6">
        <v>11869</v>
      </c>
      <c r="F904">
        <v>1</v>
      </c>
      <c r="G904" t="str">
        <f>PROPER(TRIM(Table1[[#This Row],[Product]]))</f>
        <v>Headphones</v>
      </c>
      <c r="H904" t="str">
        <f>PROPER(TRIM(Table1[[#This Row],[Region]]))</f>
        <v>South</v>
      </c>
      <c r="I904" s="6">
        <f>Table1[[#This Row],[Sales]]*Table1[[#This Row],[Quantity]]</f>
        <v>11869</v>
      </c>
    </row>
    <row r="905" spans="1:9" x14ac:dyDescent="0.35">
      <c r="A905" t="s">
        <v>897</v>
      </c>
      <c r="B905" s="1">
        <v>45266</v>
      </c>
      <c r="C905" t="s">
        <v>33</v>
      </c>
      <c r="D905" t="s">
        <v>40</v>
      </c>
      <c r="E905" s="6">
        <v>11869</v>
      </c>
      <c r="F905">
        <v>1</v>
      </c>
      <c r="G905" t="str">
        <f>PROPER(TRIM(Table1[[#This Row],[Product]]))</f>
        <v>Headphones</v>
      </c>
      <c r="H905" t="str">
        <f>PROPER(TRIM(Table1[[#This Row],[Region]]))</f>
        <v>South</v>
      </c>
      <c r="I905" s="6">
        <f>Table1[[#This Row],[Sales]]*Table1[[#This Row],[Quantity]]</f>
        <v>11869</v>
      </c>
    </row>
    <row r="906" spans="1:9" x14ac:dyDescent="0.35">
      <c r="A906" t="s">
        <v>898</v>
      </c>
      <c r="B906" s="1">
        <v>45257</v>
      </c>
      <c r="C906" t="s">
        <v>33</v>
      </c>
      <c r="D906" t="s">
        <v>13</v>
      </c>
      <c r="E906" s="6">
        <v>22988</v>
      </c>
      <c r="F906">
        <v>2</v>
      </c>
      <c r="G906" t="str">
        <f>PROPER(TRIM(Table1[[#This Row],[Product]]))</f>
        <v>Laptop</v>
      </c>
      <c r="H906" t="str">
        <f>PROPER(TRIM(Table1[[#This Row],[Region]]))</f>
        <v>South</v>
      </c>
      <c r="I906" s="6">
        <f>Table1[[#This Row],[Sales]]*Table1[[#This Row],[Quantity]]</f>
        <v>45976</v>
      </c>
    </row>
    <row r="907" spans="1:9" x14ac:dyDescent="0.35">
      <c r="A907" t="s">
        <v>899</v>
      </c>
      <c r="B907" s="1">
        <v>44977</v>
      </c>
      <c r="C907" t="s">
        <v>8</v>
      </c>
      <c r="D907" t="s">
        <v>13</v>
      </c>
      <c r="E907" s="6">
        <v>28851</v>
      </c>
      <c r="F907">
        <v>8</v>
      </c>
      <c r="G907" t="str">
        <f>PROPER(TRIM(Table1[[#This Row],[Product]]))</f>
        <v>Laptop</v>
      </c>
      <c r="H907" t="str">
        <f>PROPER(TRIM(Table1[[#This Row],[Region]]))</f>
        <v>North</v>
      </c>
      <c r="I907" s="6">
        <f>Table1[[#This Row],[Sales]]*Table1[[#This Row],[Quantity]]</f>
        <v>230808</v>
      </c>
    </row>
    <row r="908" spans="1:9" x14ac:dyDescent="0.35">
      <c r="A908" t="s">
        <v>900</v>
      </c>
      <c r="B908" s="1">
        <v>45270</v>
      </c>
      <c r="C908" t="s">
        <v>30</v>
      </c>
      <c r="D908" t="s">
        <v>25</v>
      </c>
      <c r="E908" s="6">
        <v>39178</v>
      </c>
      <c r="F908">
        <v>9</v>
      </c>
      <c r="G908" t="str">
        <f>PROPER(TRIM(Table1[[#This Row],[Product]]))</f>
        <v>Tablet</v>
      </c>
      <c r="H908" t="str">
        <f>PROPER(TRIM(Table1[[#This Row],[Region]]))</f>
        <v>West</v>
      </c>
      <c r="I908" s="6">
        <f>Table1[[#This Row],[Sales]]*Table1[[#This Row],[Quantity]]</f>
        <v>352602</v>
      </c>
    </row>
    <row r="909" spans="1:9" x14ac:dyDescent="0.35">
      <c r="A909" t="s">
        <v>901</v>
      </c>
      <c r="B909" s="1">
        <v>45072</v>
      </c>
      <c r="C909" t="s">
        <v>18</v>
      </c>
      <c r="D909" t="s">
        <v>28</v>
      </c>
      <c r="E909" s="6">
        <v>20575</v>
      </c>
      <c r="F909">
        <v>7</v>
      </c>
      <c r="G909" t="str">
        <f>PROPER(TRIM(Table1[[#This Row],[Product]]))</f>
        <v>Phone</v>
      </c>
      <c r="H909" t="str">
        <f>PROPER(TRIM(Table1[[#This Row],[Region]]))</f>
        <v>East</v>
      </c>
      <c r="I909" s="6">
        <f>Table1[[#This Row],[Sales]]*Table1[[#This Row],[Quantity]]</f>
        <v>144025</v>
      </c>
    </row>
    <row r="910" spans="1:9" x14ac:dyDescent="0.35">
      <c r="A910" t="s">
        <v>902</v>
      </c>
      <c r="B910" s="1">
        <v>44975</v>
      </c>
      <c r="C910" t="s">
        <v>8</v>
      </c>
      <c r="D910" t="s">
        <v>13</v>
      </c>
      <c r="E910" s="6">
        <v>48550</v>
      </c>
      <c r="F910">
        <v>10</v>
      </c>
      <c r="G910" t="str">
        <f>PROPER(TRIM(Table1[[#This Row],[Product]]))</f>
        <v>Laptop</v>
      </c>
      <c r="H910" t="str">
        <f>PROPER(TRIM(Table1[[#This Row],[Region]]))</f>
        <v>North</v>
      </c>
      <c r="I910" s="6">
        <f>Table1[[#This Row],[Sales]]*Table1[[#This Row],[Quantity]]</f>
        <v>485500</v>
      </c>
    </row>
    <row r="911" spans="1:9" x14ac:dyDescent="0.35">
      <c r="A911" t="s">
        <v>903</v>
      </c>
      <c r="B911" s="1">
        <v>45215</v>
      </c>
      <c r="C911" t="s">
        <v>30</v>
      </c>
      <c r="D911" t="s">
        <v>13</v>
      </c>
      <c r="E911" s="6">
        <v>9155</v>
      </c>
      <c r="F911">
        <v>2</v>
      </c>
      <c r="G911" t="str">
        <f>PROPER(TRIM(Table1[[#This Row],[Product]]))</f>
        <v>Laptop</v>
      </c>
      <c r="H911" t="str">
        <f>PROPER(TRIM(Table1[[#This Row],[Region]]))</f>
        <v>West</v>
      </c>
      <c r="I911" s="6">
        <f>Table1[[#This Row],[Sales]]*Table1[[#This Row],[Quantity]]</f>
        <v>18310</v>
      </c>
    </row>
    <row r="912" spans="1:9" x14ac:dyDescent="0.35">
      <c r="A912" t="s">
        <v>904</v>
      </c>
      <c r="B912" s="1">
        <v>45077</v>
      </c>
      <c r="C912" t="s">
        <v>30</v>
      </c>
      <c r="D912" t="s">
        <v>13</v>
      </c>
      <c r="E912" s="6">
        <v>15540</v>
      </c>
      <c r="F912">
        <v>10</v>
      </c>
      <c r="G912" t="str">
        <f>PROPER(TRIM(Table1[[#This Row],[Product]]))</f>
        <v>Laptop</v>
      </c>
      <c r="H912" t="str">
        <f>PROPER(TRIM(Table1[[#This Row],[Region]]))</f>
        <v>West</v>
      </c>
      <c r="I912" s="6">
        <f>Table1[[#This Row],[Sales]]*Table1[[#This Row],[Quantity]]</f>
        <v>155400</v>
      </c>
    </row>
    <row r="913" spans="1:9" x14ac:dyDescent="0.35">
      <c r="A913" t="s">
        <v>905</v>
      </c>
      <c r="B913" s="1">
        <v>45155</v>
      </c>
      <c r="C913" t="s">
        <v>18</v>
      </c>
      <c r="D913" t="s">
        <v>31</v>
      </c>
      <c r="E913" s="6">
        <v>23820</v>
      </c>
      <c r="F913">
        <v>2</v>
      </c>
      <c r="G913" t="str">
        <f>PROPER(TRIM(Table1[[#This Row],[Product]]))</f>
        <v>Monitor</v>
      </c>
      <c r="H913" t="str">
        <f>PROPER(TRIM(Table1[[#This Row],[Region]]))</f>
        <v>East</v>
      </c>
      <c r="I913" s="6">
        <f>Table1[[#This Row],[Sales]]*Table1[[#This Row],[Quantity]]</f>
        <v>47640</v>
      </c>
    </row>
    <row r="914" spans="1:9" x14ac:dyDescent="0.35">
      <c r="A914" t="s">
        <v>906</v>
      </c>
      <c r="B914" s="1">
        <v>45065</v>
      </c>
      <c r="C914" t="s">
        <v>8</v>
      </c>
      <c r="D914" t="s">
        <v>40</v>
      </c>
      <c r="E914" s="6">
        <v>32922</v>
      </c>
      <c r="F914">
        <v>2</v>
      </c>
      <c r="G914" t="str">
        <f>PROPER(TRIM(Table1[[#This Row],[Product]]))</f>
        <v>Headphones</v>
      </c>
      <c r="H914" t="str">
        <f>PROPER(TRIM(Table1[[#This Row],[Region]]))</f>
        <v>North</v>
      </c>
      <c r="I914" s="6">
        <f>Table1[[#This Row],[Sales]]*Table1[[#This Row],[Quantity]]</f>
        <v>65844</v>
      </c>
    </row>
    <row r="915" spans="1:9" x14ac:dyDescent="0.35">
      <c r="A915" t="s">
        <v>907</v>
      </c>
      <c r="B915" s="1">
        <v>45083</v>
      </c>
      <c r="C915" t="s">
        <v>8</v>
      </c>
      <c r="D915" t="s">
        <v>25</v>
      </c>
      <c r="E915" s="6">
        <v>16554</v>
      </c>
      <c r="F915">
        <v>1</v>
      </c>
      <c r="G915" t="str">
        <f>PROPER(TRIM(Table1[[#This Row],[Product]]))</f>
        <v>Tablet</v>
      </c>
      <c r="H915" t="str">
        <f>PROPER(TRIM(Table1[[#This Row],[Region]]))</f>
        <v>North</v>
      </c>
      <c r="I915" s="6">
        <f>Table1[[#This Row],[Sales]]*Table1[[#This Row],[Quantity]]</f>
        <v>16554</v>
      </c>
    </row>
    <row r="916" spans="1:9" x14ac:dyDescent="0.35">
      <c r="A916" t="s">
        <v>908</v>
      </c>
      <c r="B916" s="1">
        <v>45103</v>
      </c>
      <c r="C916" t="s">
        <v>8</v>
      </c>
      <c r="D916" t="s">
        <v>25</v>
      </c>
      <c r="E916" s="6">
        <v>2602</v>
      </c>
      <c r="F916">
        <v>3</v>
      </c>
      <c r="G916" t="str">
        <f>PROPER(TRIM(Table1[[#This Row],[Product]]))</f>
        <v>Tablet</v>
      </c>
      <c r="H916" t="str">
        <f>PROPER(TRIM(Table1[[#This Row],[Region]]))</f>
        <v>North</v>
      </c>
      <c r="I916" s="6">
        <f>Table1[[#This Row],[Sales]]*Table1[[#This Row],[Quantity]]</f>
        <v>7806</v>
      </c>
    </row>
    <row r="917" spans="1:9" x14ac:dyDescent="0.35">
      <c r="A917" t="s">
        <v>909</v>
      </c>
      <c r="B917" s="1">
        <v>45000</v>
      </c>
      <c r="C917" t="s">
        <v>8</v>
      </c>
      <c r="D917" t="s">
        <v>13</v>
      </c>
      <c r="E917" s="6">
        <v>13631</v>
      </c>
      <c r="F917">
        <v>9</v>
      </c>
      <c r="G917" t="str">
        <f>PROPER(TRIM(Table1[[#This Row],[Product]]))</f>
        <v>Laptop</v>
      </c>
      <c r="H917" t="str">
        <f>PROPER(TRIM(Table1[[#This Row],[Region]]))</f>
        <v>North</v>
      </c>
      <c r="I917" s="6">
        <f>Table1[[#This Row],[Sales]]*Table1[[#This Row],[Quantity]]</f>
        <v>122679</v>
      </c>
    </row>
    <row r="918" spans="1:9" x14ac:dyDescent="0.35">
      <c r="A918" t="s">
        <v>910</v>
      </c>
      <c r="B918" s="1">
        <v>45278</v>
      </c>
      <c r="C918" t="s">
        <v>8</v>
      </c>
      <c r="D918" t="s">
        <v>25</v>
      </c>
      <c r="E918" s="6">
        <v>13303</v>
      </c>
      <c r="F918">
        <v>9</v>
      </c>
      <c r="G918" t="str">
        <f>PROPER(TRIM(Table1[[#This Row],[Product]]))</f>
        <v>Tablet</v>
      </c>
      <c r="H918" t="str">
        <f>PROPER(TRIM(Table1[[#This Row],[Region]]))</f>
        <v>North</v>
      </c>
      <c r="I918" s="6">
        <f>Table1[[#This Row],[Sales]]*Table1[[#This Row],[Quantity]]</f>
        <v>119727</v>
      </c>
    </row>
    <row r="919" spans="1:9" x14ac:dyDescent="0.35">
      <c r="A919" t="s">
        <v>911</v>
      </c>
      <c r="B919" s="1">
        <v>45158</v>
      </c>
      <c r="C919" t="s">
        <v>18</v>
      </c>
      <c r="D919" t="s">
        <v>25</v>
      </c>
      <c r="E919" s="6">
        <v>15336</v>
      </c>
      <c r="F919">
        <v>7</v>
      </c>
      <c r="G919" t="str">
        <f>PROPER(TRIM(Table1[[#This Row],[Product]]))</f>
        <v>Tablet</v>
      </c>
      <c r="H919" t="str">
        <f>PROPER(TRIM(Table1[[#This Row],[Region]]))</f>
        <v>East</v>
      </c>
      <c r="I919" s="6">
        <f>Table1[[#This Row],[Sales]]*Table1[[#This Row],[Quantity]]</f>
        <v>107352</v>
      </c>
    </row>
    <row r="920" spans="1:9" x14ac:dyDescent="0.35">
      <c r="A920" t="s">
        <v>912</v>
      </c>
      <c r="B920" s="1">
        <v>45027</v>
      </c>
      <c r="C920" t="s">
        <v>33</v>
      </c>
      <c r="D920" t="s">
        <v>28</v>
      </c>
      <c r="E920" s="6">
        <v>17575</v>
      </c>
      <c r="F920">
        <v>6</v>
      </c>
      <c r="G920" t="str">
        <f>PROPER(TRIM(Table1[[#This Row],[Product]]))</f>
        <v>Phone</v>
      </c>
      <c r="H920" t="str">
        <f>PROPER(TRIM(Table1[[#This Row],[Region]]))</f>
        <v>South</v>
      </c>
      <c r="I920" s="6">
        <f>Table1[[#This Row],[Sales]]*Table1[[#This Row],[Quantity]]</f>
        <v>105450</v>
      </c>
    </row>
    <row r="921" spans="1:9" x14ac:dyDescent="0.35">
      <c r="A921" t="s">
        <v>913</v>
      </c>
      <c r="B921" s="1">
        <v>45071</v>
      </c>
      <c r="C921" t="s">
        <v>8</v>
      </c>
      <c r="D921" t="s">
        <v>25</v>
      </c>
      <c r="E921" s="6">
        <v>48105</v>
      </c>
      <c r="F921">
        <v>3</v>
      </c>
      <c r="G921" t="str">
        <f>PROPER(TRIM(Table1[[#This Row],[Product]]))</f>
        <v>Tablet</v>
      </c>
      <c r="H921" t="str">
        <f>PROPER(TRIM(Table1[[#This Row],[Region]]))</f>
        <v>North</v>
      </c>
      <c r="I921" s="6">
        <f>Table1[[#This Row],[Sales]]*Table1[[#This Row],[Quantity]]</f>
        <v>144315</v>
      </c>
    </row>
    <row r="922" spans="1:9" x14ac:dyDescent="0.35">
      <c r="A922" t="s">
        <v>914</v>
      </c>
      <c r="B922" s="1">
        <v>44974</v>
      </c>
      <c r="C922" t="s">
        <v>18</v>
      </c>
      <c r="D922" t="s">
        <v>28</v>
      </c>
      <c r="E922" s="6">
        <v>42658</v>
      </c>
      <c r="F922">
        <v>7</v>
      </c>
      <c r="G922" t="str">
        <f>PROPER(TRIM(Table1[[#This Row],[Product]]))</f>
        <v>Phone</v>
      </c>
      <c r="H922" t="str">
        <f>PROPER(TRIM(Table1[[#This Row],[Region]]))</f>
        <v>East</v>
      </c>
      <c r="I922" s="6">
        <f>Table1[[#This Row],[Sales]]*Table1[[#This Row],[Quantity]]</f>
        <v>298606</v>
      </c>
    </row>
    <row r="923" spans="1:9" x14ac:dyDescent="0.35">
      <c r="A923" t="s">
        <v>915</v>
      </c>
      <c r="B923" s="1">
        <v>45124</v>
      </c>
      <c r="C923" t="s">
        <v>30</v>
      </c>
      <c r="D923" t="s">
        <v>40</v>
      </c>
      <c r="E923" s="6">
        <v>22995</v>
      </c>
      <c r="F923">
        <v>1</v>
      </c>
      <c r="G923" t="str">
        <f>PROPER(TRIM(Table1[[#This Row],[Product]]))</f>
        <v>Headphones</v>
      </c>
      <c r="H923" t="str">
        <f>PROPER(TRIM(Table1[[#This Row],[Region]]))</f>
        <v>West</v>
      </c>
      <c r="I923" s="6">
        <f>Table1[[#This Row],[Sales]]*Table1[[#This Row],[Quantity]]</f>
        <v>22995</v>
      </c>
    </row>
    <row r="924" spans="1:9" x14ac:dyDescent="0.35">
      <c r="A924" t="s">
        <v>916</v>
      </c>
      <c r="B924" s="1">
        <v>45044</v>
      </c>
      <c r="C924" t="s">
        <v>33</v>
      </c>
      <c r="D924" t="s">
        <v>28</v>
      </c>
      <c r="E924" s="6">
        <v>24182</v>
      </c>
      <c r="F924">
        <v>9</v>
      </c>
      <c r="G924" t="str">
        <f>PROPER(TRIM(Table1[[#This Row],[Product]]))</f>
        <v>Phone</v>
      </c>
      <c r="H924" t="str">
        <f>PROPER(TRIM(Table1[[#This Row],[Region]]))</f>
        <v>South</v>
      </c>
      <c r="I924" s="6">
        <f>Table1[[#This Row],[Sales]]*Table1[[#This Row],[Quantity]]</f>
        <v>217638</v>
      </c>
    </row>
    <row r="925" spans="1:9" x14ac:dyDescent="0.35">
      <c r="A925" t="s">
        <v>917</v>
      </c>
      <c r="B925" s="1">
        <v>45014</v>
      </c>
      <c r="C925" t="s">
        <v>8</v>
      </c>
      <c r="D925" t="s">
        <v>28</v>
      </c>
      <c r="E925" s="6">
        <v>19999</v>
      </c>
      <c r="F925">
        <v>8</v>
      </c>
      <c r="G925" t="str">
        <f>PROPER(TRIM(Table1[[#This Row],[Product]]))</f>
        <v>Phone</v>
      </c>
      <c r="H925" t="str">
        <f>PROPER(TRIM(Table1[[#This Row],[Region]]))</f>
        <v>North</v>
      </c>
      <c r="I925" s="6">
        <f>Table1[[#This Row],[Sales]]*Table1[[#This Row],[Quantity]]</f>
        <v>159992</v>
      </c>
    </row>
    <row r="926" spans="1:9" x14ac:dyDescent="0.35">
      <c r="A926" t="s">
        <v>918</v>
      </c>
      <c r="B926" s="1">
        <v>44954</v>
      </c>
      <c r="C926" t="s">
        <v>18</v>
      </c>
      <c r="D926" t="s">
        <v>28</v>
      </c>
      <c r="E926" s="6">
        <v>32391</v>
      </c>
      <c r="F926">
        <v>6</v>
      </c>
      <c r="G926" t="str">
        <f>PROPER(TRIM(Table1[[#This Row],[Product]]))</f>
        <v>Phone</v>
      </c>
      <c r="H926" t="str">
        <f>PROPER(TRIM(Table1[[#This Row],[Region]]))</f>
        <v>East</v>
      </c>
      <c r="I926" s="6">
        <f>Table1[[#This Row],[Sales]]*Table1[[#This Row],[Quantity]]</f>
        <v>194346</v>
      </c>
    </row>
    <row r="927" spans="1:9" x14ac:dyDescent="0.35">
      <c r="A927" t="s">
        <v>919</v>
      </c>
      <c r="B927" s="1">
        <v>44941</v>
      </c>
      <c r="C927" t="s">
        <v>30</v>
      </c>
      <c r="D927" t="s">
        <v>40</v>
      </c>
      <c r="E927" s="6">
        <v>16685</v>
      </c>
      <c r="F927">
        <v>9</v>
      </c>
      <c r="G927" t="str">
        <f>PROPER(TRIM(Table1[[#This Row],[Product]]))</f>
        <v>Headphones</v>
      </c>
      <c r="H927" t="str">
        <f>PROPER(TRIM(Table1[[#This Row],[Region]]))</f>
        <v>West</v>
      </c>
      <c r="I927" s="6">
        <f>Table1[[#This Row],[Sales]]*Table1[[#This Row],[Quantity]]</f>
        <v>150165</v>
      </c>
    </row>
    <row r="928" spans="1:9" x14ac:dyDescent="0.35">
      <c r="A928" t="s">
        <v>920</v>
      </c>
      <c r="B928" s="1">
        <v>45080</v>
      </c>
      <c r="C928" t="s">
        <v>18</v>
      </c>
      <c r="D928" t="s">
        <v>25</v>
      </c>
      <c r="E928" s="6">
        <v>13866</v>
      </c>
      <c r="F928">
        <v>7</v>
      </c>
      <c r="G928" t="str">
        <f>PROPER(TRIM(Table1[[#This Row],[Product]]))</f>
        <v>Tablet</v>
      </c>
      <c r="H928" t="str">
        <f>PROPER(TRIM(Table1[[#This Row],[Region]]))</f>
        <v>East</v>
      </c>
      <c r="I928" s="6">
        <f>Table1[[#This Row],[Sales]]*Table1[[#This Row],[Quantity]]</f>
        <v>97062</v>
      </c>
    </row>
    <row r="929" spans="1:9" x14ac:dyDescent="0.35">
      <c r="A929" t="s">
        <v>921</v>
      </c>
      <c r="B929" s="1">
        <v>45058</v>
      </c>
      <c r="C929" t="s">
        <v>8</v>
      </c>
      <c r="D929" t="s">
        <v>31</v>
      </c>
      <c r="E929" s="6">
        <v>8402</v>
      </c>
      <c r="F929">
        <v>8</v>
      </c>
      <c r="G929" t="str">
        <f>PROPER(TRIM(Table1[[#This Row],[Product]]))</f>
        <v>Monitor</v>
      </c>
      <c r="H929" t="str">
        <f>PROPER(TRIM(Table1[[#This Row],[Region]]))</f>
        <v>North</v>
      </c>
      <c r="I929" s="6">
        <f>Table1[[#This Row],[Sales]]*Table1[[#This Row],[Quantity]]</f>
        <v>67216</v>
      </c>
    </row>
    <row r="930" spans="1:9" x14ac:dyDescent="0.35">
      <c r="A930" t="s">
        <v>922</v>
      </c>
      <c r="B930" s="1">
        <v>45285</v>
      </c>
      <c r="C930" t="s">
        <v>30</v>
      </c>
      <c r="D930" t="s">
        <v>40</v>
      </c>
      <c r="E930" s="6">
        <v>14209</v>
      </c>
      <c r="F930">
        <v>8</v>
      </c>
      <c r="G930" t="str">
        <f>PROPER(TRIM(Table1[[#This Row],[Product]]))</f>
        <v>Headphones</v>
      </c>
      <c r="H930" t="str">
        <f>PROPER(TRIM(Table1[[#This Row],[Region]]))</f>
        <v>West</v>
      </c>
      <c r="I930" s="6">
        <f>Table1[[#This Row],[Sales]]*Table1[[#This Row],[Quantity]]</f>
        <v>113672</v>
      </c>
    </row>
    <row r="931" spans="1:9" x14ac:dyDescent="0.35">
      <c r="A931" t="s">
        <v>923</v>
      </c>
      <c r="B931" s="1">
        <v>45028</v>
      </c>
      <c r="C931" t="s">
        <v>8</v>
      </c>
      <c r="D931" t="s">
        <v>13</v>
      </c>
      <c r="E931" s="6">
        <v>10280</v>
      </c>
      <c r="F931">
        <v>4</v>
      </c>
      <c r="G931" t="str">
        <f>PROPER(TRIM(Table1[[#This Row],[Product]]))</f>
        <v>Laptop</v>
      </c>
      <c r="H931" t="str">
        <f>PROPER(TRIM(Table1[[#This Row],[Region]]))</f>
        <v>North</v>
      </c>
      <c r="I931" s="6">
        <f>Table1[[#This Row],[Sales]]*Table1[[#This Row],[Quantity]]</f>
        <v>41120</v>
      </c>
    </row>
    <row r="932" spans="1:9" x14ac:dyDescent="0.35">
      <c r="A932" t="s">
        <v>924</v>
      </c>
      <c r="B932" s="1">
        <v>45020</v>
      </c>
      <c r="C932" t="s">
        <v>30</v>
      </c>
      <c r="D932" t="s">
        <v>31</v>
      </c>
      <c r="E932" s="6">
        <v>37095</v>
      </c>
      <c r="F932">
        <v>3</v>
      </c>
      <c r="G932" t="str">
        <f>PROPER(TRIM(Table1[[#This Row],[Product]]))</f>
        <v>Monitor</v>
      </c>
      <c r="H932" t="str">
        <f>PROPER(TRIM(Table1[[#This Row],[Region]]))</f>
        <v>West</v>
      </c>
      <c r="I932" s="6">
        <f>Table1[[#This Row],[Sales]]*Table1[[#This Row],[Quantity]]</f>
        <v>111285</v>
      </c>
    </row>
    <row r="933" spans="1:9" x14ac:dyDescent="0.35">
      <c r="A933" t="s">
        <v>925</v>
      </c>
      <c r="B933" s="1">
        <v>45273</v>
      </c>
      <c r="C933" t="s">
        <v>33</v>
      </c>
      <c r="D933" t="s">
        <v>40</v>
      </c>
      <c r="E933" s="6">
        <v>37624</v>
      </c>
      <c r="F933">
        <v>6</v>
      </c>
      <c r="G933" t="str">
        <f>PROPER(TRIM(Table1[[#This Row],[Product]]))</f>
        <v>Headphones</v>
      </c>
      <c r="H933" t="str">
        <f>PROPER(TRIM(Table1[[#This Row],[Region]]))</f>
        <v>South</v>
      </c>
      <c r="I933" s="6">
        <f>Table1[[#This Row],[Sales]]*Table1[[#This Row],[Quantity]]</f>
        <v>225744</v>
      </c>
    </row>
    <row r="934" spans="1:9" x14ac:dyDescent="0.35">
      <c r="A934" t="s">
        <v>926</v>
      </c>
      <c r="B934" s="1">
        <v>45087</v>
      </c>
      <c r="C934" t="s">
        <v>33</v>
      </c>
      <c r="D934" t="s">
        <v>31</v>
      </c>
      <c r="E934" s="6">
        <v>35154</v>
      </c>
      <c r="F934">
        <v>7</v>
      </c>
      <c r="G934" t="str">
        <f>PROPER(TRIM(Table1[[#This Row],[Product]]))</f>
        <v>Monitor</v>
      </c>
      <c r="H934" t="str">
        <f>PROPER(TRIM(Table1[[#This Row],[Region]]))</f>
        <v>South</v>
      </c>
      <c r="I934" s="6">
        <f>Table1[[#This Row],[Sales]]*Table1[[#This Row],[Quantity]]</f>
        <v>246078</v>
      </c>
    </row>
    <row r="935" spans="1:9" x14ac:dyDescent="0.35">
      <c r="A935" t="s">
        <v>927</v>
      </c>
      <c r="B935" s="1">
        <v>45172</v>
      </c>
      <c r="C935" t="s">
        <v>30</v>
      </c>
      <c r="D935" t="s">
        <v>28</v>
      </c>
      <c r="E935" s="6">
        <v>45114</v>
      </c>
      <c r="F935">
        <v>6</v>
      </c>
      <c r="G935" t="str">
        <f>PROPER(TRIM(Table1[[#This Row],[Product]]))</f>
        <v>Phone</v>
      </c>
      <c r="H935" t="str">
        <f>PROPER(TRIM(Table1[[#This Row],[Region]]))</f>
        <v>West</v>
      </c>
      <c r="I935" s="6">
        <f>Table1[[#This Row],[Sales]]*Table1[[#This Row],[Quantity]]</f>
        <v>270684</v>
      </c>
    </row>
    <row r="936" spans="1:9" x14ac:dyDescent="0.35">
      <c r="A936" t="s">
        <v>928</v>
      </c>
      <c r="B936" s="1">
        <v>45160</v>
      </c>
      <c r="C936" t="s">
        <v>33</v>
      </c>
      <c r="D936" t="s">
        <v>25</v>
      </c>
      <c r="E936" s="6">
        <v>33387</v>
      </c>
      <c r="F936">
        <v>7</v>
      </c>
      <c r="G936" t="str">
        <f>PROPER(TRIM(Table1[[#This Row],[Product]]))</f>
        <v>Tablet</v>
      </c>
      <c r="H936" t="str">
        <f>PROPER(TRIM(Table1[[#This Row],[Region]]))</f>
        <v>South</v>
      </c>
      <c r="I936" s="6">
        <f>Table1[[#This Row],[Sales]]*Table1[[#This Row],[Quantity]]</f>
        <v>233709</v>
      </c>
    </row>
    <row r="937" spans="1:9" x14ac:dyDescent="0.35">
      <c r="A937" t="s">
        <v>929</v>
      </c>
      <c r="B937" s="1">
        <v>45041</v>
      </c>
      <c r="C937" t="s">
        <v>30</v>
      </c>
      <c r="D937" t="s">
        <v>13</v>
      </c>
      <c r="E937" s="6">
        <v>7231</v>
      </c>
      <c r="F937">
        <v>8</v>
      </c>
      <c r="G937" t="str">
        <f>PROPER(TRIM(Table1[[#This Row],[Product]]))</f>
        <v>Laptop</v>
      </c>
      <c r="H937" t="str">
        <f>PROPER(TRIM(Table1[[#This Row],[Region]]))</f>
        <v>West</v>
      </c>
      <c r="I937" s="6">
        <f>Table1[[#This Row],[Sales]]*Table1[[#This Row],[Quantity]]</f>
        <v>57848</v>
      </c>
    </row>
    <row r="938" spans="1:9" x14ac:dyDescent="0.35">
      <c r="A938" t="s">
        <v>930</v>
      </c>
      <c r="B938" s="1">
        <v>45244</v>
      </c>
      <c r="C938" t="s">
        <v>30</v>
      </c>
      <c r="D938" t="s">
        <v>13</v>
      </c>
      <c r="E938" s="6">
        <v>8625</v>
      </c>
      <c r="F938">
        <v>5</v>
      </c>
      <c r="G938" t="str">
        <f>PROPER(TRIM(Table1[[#This Row],[Product]]))</f>
        <v>Laptop</v>
      </c>
      <c r="H938" t="str">
        <f>PROPER(TRIM(Table1[[#This Row],[Region]]))</f>
        <v>West</v>
      </c>
      <c r="I938" s="6">
        <f>Table1[[#This Row],[Sales]]*Table1[[#This Row],[Quantity]]</f>
        <v>43125</v>
      </c>
    </row>
    <row r="939" spans="1:9" x14ac:dyDescent="0.35">
      <c r="A939" t="s">
        <v>931</v>
      </c>
      <c r="B939" s="1">
        <v>45201</v>
      </c>
      <c r="C939" t="s">
        <v>33</v>
      </c>
      <c r="D939" t="s">
        <v>31</v>
      </c>
      <c r="E939" s="6">
        <v>24261</v>
      </c>
      <c r="F939">
        <v>8</v>
      </c>
      <c r="G939" t="str">
        <f>PROPER(TRIM(Table1[[#This Row],[Product]]))</f>
        <v>Monitor</v>
      </c>
      <c r="H939" t="str">
        <f>PROPER(TRIM(Table1[[#This Row],[Region]]))</f>
        <v>South</v>
      </c>
      <c r="I939" s="6">
        <f>Table1[[#This Row],[Sales]]*Table1[[#This Row],[Quantity]]</f>
        <v>194088</v>
      </c>
    </row>
    <row r="940" spans="1:9" x14ac:dyDescent="0.35">
      <c r="A940" t="s">
        <v>932</v>
      </c>
      <c r="B940" s="1">
        <v>45155</v>
      </c>
      <c r="C940" t="s">
        <v>18</v>
      </c>
      <c r="D940" t="s">
        <v>28</v>
      </c>
      <c r="E940" s="6">
        <v>21135</v>
      </c>
      <c r="F940">
        <v>3</v>
      </c>
      <c r="G940" t="str">
        <f>PROPER(TRIM(Table1[[#This Row],[Product]]))</f>
        <v>Phone</v>
      </c>
      <c r="H940" t="str">
        <f>PROPER(TRIM(Table1[[#This Row],[Region]]))</f>
        <v>East</v>
      </c>
      <c r="I940" s="6">
        <f>Table1[[#This Row],[Sales]]*Table1[[#This Row],[Quantity]]</f>
        <v>63405</v>
      </c>
    </row>
    <row r="941" spans="1:9" x14ac:dyDescent="0.35">
      <c r="A941" t="s">
        <v>933</v>
      </c>
      <c r="B941" s="1">
        <v>44932</v>
      </c>
      <c r="C941" t="s">
        <v>18</v>
      </c>
      <c r="D941" t="s">
        <v>28</v>
      </c>
      <c r="E941" s="6">
        <v>16619</v>
      </c>
      <c r="F941">
        <v>6</v>
      </c>
      <c r="G941" t="str">
        <f>PROPER(TRIM(Table1[[#This Row],[Product]]))</f>
        <v>Phone</v>
      </c>
      <c r="H941" t="str">
        <f>PROPER(TRIM(Table1[[#This Row],[Region]]))</f>
        <v>East</v>
      </c>
      <c r="I941" s="6">
        <f>Table1[[#This Row],[Sales]]*Table1[[#This Row],[Quantity]]</f>
        <v>99714</v>
      </c>
    </row>
    <row r="942" spans="1:9" x14ac:dyDescent="0.35">
      <c r="A942" t="s">
        <v>934</v>
      </c>
      <c r="B942" s="1">
        <v>45054</v>
      </c>
      <c r="C942" t="s">
        <v>30</v>
      </c>
      <c r="D942" t="s">
        <v>13</v>
      </c>
      <c r="E942" s="6">
        <v>7223</v>
      </c>
      <c r="F942">
        <v>6</v>
      </c>
      <c r="G942" t="str">
        <f>PROPER(TRIM(Table1[[#This Row],[Product]]))</f>
        <v>Laptop</v>
      </c>
      <c r="H942" t="str">
        <f>PROPER(TRIM(Table1[[#This Row],[Region]]))</f>
        <v>West</v>
      </c>
      <c r="I942" s="6">
        <f>Table1[[#This Row],[Sales]]*Table1[[#This Row],[Quantity]]</f>
        <v>43338</v>
      </c>
    </row>
    <row r="943" spans="1:9" x14ac:dyDescent="0.35">
      <c r="A943" t="s">
        <v>935</v>
      </c>
      <c r="B943" s="1">
        <v>45086</v>
      </c>
      <c r="C943" t="s">
        <v>8</v>
      </c>
      <c r="D943" t="s">
        <v>28</v>
      </c>
      <c r="E943" s="6">
        <v>32439</v>
      </c>
      <c r="F943">
        <v>9</v>
      </c>
      <c r="G943" t="str">
        <f>PROPER(TRIM(Table1[[#This Row],[Product]]))</f>
        <v>Phone</v>
      </c>
      <c r="H943" t="str">
        <f>PROPER(TRIM(Table1[[#This Row],[Region]]))</f>
        <v>North</v>
      </c>
      <c r="I943" s="6">
        <f>Table1[[#This Row],[Sales]]*Table1[[#This Row],[Quantity]]</f>
        <v>291951</v>
      </c>
    </row>
    <row r="944" spans="1:9" x14ac:dyDescent="0.35">
      <c r="A944" t="s">
        <v>936</v>
      </c>
      <c r="B944" s="1">
        <v>45188</v>
      </c>
      <c r="C944" t="s">
        <v>30</v>
      </c>
      <c r="D944" t="s">
        <v>28</v>
      </c>
      <c r="E944" s="6">
        <v>29417</v>
      </c>
      <c r="F944">
        <v>2</v>
      </c>
      <c r="G944" t="str">
        <f>PROPER(TRIM(Table1[[#This Row],[Product]]))</f>
        <v>Phone</v>
      </c>
      <c r="H944" t="str">
        <f>PROPER(TRIM(Table1[[#This Row],[Region]]))</f>
        <v>West</v>
      </c>
      <c r="I944" s="6">
        <f>Table1[[#This Row],[Sales]]*Table1[[#This Row],[Quantity]]</f>
        <v>58834</v>
      </c>
    </row>
    <row r="945" spans="1:9" x14ac:dyDescent="0.35">
      <c r="A945" t="s">
        <v>937</v>
      </c>
      <c r="B945" s="1">
        <v>45098</v>
      </c>
      <c r="C945" t="s">
        <v>8</v>
      </c>
      <c r="D945" t="s">
        <v>25</v>
      </c>
      <c r="E945" s="6">
        <v>22269</v>
      </c>
      <c r="F945">
        <v>6</v>
      </c>
      <c r="G945" t="str">
        <f>PROPER(TRIM(Table1[[#This Row],[Product]]))</f>
        <v>Tablet</v>
      </c>
      <c r="H945" t="str">
        <f>PROPER(TRIM(Table1[[#This Row],[Region]]))</f>
        <v>North</v>
      </c>
      <c r="I945" s="6">
        <f>Table1[[#This Row],[Sales]]*Table1[[#This Row],[Quantity]]</f>
        <v>133614</v>
      </c>
    </row>
    <row r="946" spans="1:9" x14ac:dyDescent="0.35">
      <c r="A946" t="s">
        <v>938</v>
      </c>
      <c r="B946" s="1">
        <v>45014</v>
      </c>
      <c r="C946" t="s">
        <v>30</v>
      </c>
      <c r="D946" t="s">
        <v>40</v>
      </c>
      <c r="E946" s="6">
        <v>3496</v>
      </c>
      <c r="F946">
        <v>8</v>
      </c>
      <c r="G946" t="str">
        <f>PROPER(TRIM(Table1[[#This Row],[Product]]))</f>
        <v>Headphones</v>
      </c>
      <c r="H946" t="str">
        <f>PROPER(TRIM(Table1[[#This Row],[Region]]))</f>
        <v>West</v>
      </c>
      <c r="I946" s="6">
        <f>Table1[[#This Row],[Sales]]*Table1[[#This Row],[Quantity]]</f>
        <v>27968</v>
      </c>
    </row>
    <row r="947" spans="1:9" x14ac:dyDescent="0.35">
      <c r="A947" t="s">
        <v>939</v>
      </c>
      <c r="B947" s="1">
        <v>45122</v>
      </c>
      <c r="C947" t="s">
        <v>18</v>
      </c>
      <c r="D947" t="s">
        <v>28</v>
      </c>
      <c r="E947" s="6">
        <v>22331</v>
      </c>
      <c r="F947">
        <v>8</v>
      </c>
      <c r="G947" t="str">
        <f>PROPER(TRIM(Table1[[#This Row],[Product]]))</f>
        <v>Phone</v>
      </c>
      <c r="H947" t="str">
        <f>PROPER(TRIM(Table1[[#This Row],[Region]]))</f>
        <v>East</v>
      </c>
      <c r="I947" s="6">
        <f>Table1[[#This Row],[Sales]]*Table1[[#This Row],[Quantity]]</f>
        <v>178648</v>
      </c>
    </row>
    <row r="948" spans="1:9" x14ac:dyDescent="0.35">
      <c r="A948" t="s">
        <v>940</v>
      </c>
      <c r="B948" s="1">
        <v>45019</v>
      </c>
      <c r="C948" t="s">
        <v>18</v>
      </c>
      <c r="D948" t="s">
        <v>28</v>
      </c>
      <c r="E948" s="6">
        <v>19045</v>
      </c>
      <c r="F948">
        <v>8</v>
      </c>
      <c r="G948" t="str">
        <f>PROPER(TRIM(Table1[[#This Row],[Product]]))</f>
        <v>Phone</v>
      </c>
      <c r="H948" t="str">
        <f>PROPER(TRIM(Table1[[#This Row],[Region]]))</f>
        <v>East</v>
      </c>
      <c r="I948" s="6">
        <f>Table1[[#This Row],[Sales]]*Table1[[#This Row],[Quantity]]</f>
        <v>152360</v>
      </c>
    </row>
    <row r="949" spans="1:9" x14ac:dyDescent="0.35">
      <c r="A949" t="s">
        <v>941</v>
      </c>
      <c r="B949" s="1">
        <v>45067</v>
      </c>
      <c r="C949" t="s">
        <v>33</v>
      </c>
      <c r="D949" t="s">
        <v>31</v>
      </c>
      <c r="E949" s="6">
        <v>34929</v>
      </c>
      <c r="F949">
        <v>6</v>
      </c>
      <c r="G949" t="str">
        <f>PROPER(TRIM(Table1[[#This Row],[Product]]))</f>
        <v>Monitor</v>
      </c>
      <c r="H949" t="str">
        <f>PROPER(TRIM(Table1[[#This Row],[Region]]))</f>
        <v>South</v>
      </c>
      <c r="I949" s="6">
        <f>Table1[[#This Row],[Sales]]*Table1[[#This Row],[Quantity]]</f>
        <v>209574</v>
      </c>
    </row>
    <row r="950" spans="1:9" x14ac:dyDescent="0.35">
      <c r="A950" t="s">
        <v>942</v>
      </c>
      <c r="B950" s="1">
        <v>45128</v>
      </c>
      <c r="C950" t="s">
        <v>33</v>
      </c>
      <c r="D950" t="s">
        <v>31</v>
      </c>
      <c r="E950" s="6">
        <v>21879</v>
      </c>
      <c r="F950">
        <v>8</v>
      </c>
      <c r="G950" t="str">
        <f>PROPER(TRIM(Table1[[#This Row],[Product]]))</f>
        <v>Monitor</v>
      </c>
      <c r="H950" t="str">
        <f>PROPER(TRIM(Table1[[#This Row],[Region]]))</f>
        <v>South</v>
      </c>
      <c r="I950" s="6">
        <f>Table1[[#This Row],[Sales]]*Table1[[#This Row],[Quantity]]</f>
        <v>175032</v>
      </c>
    </row>
    <row r="951" spans="1:9" x14ac:dyDescent="0.35">
      <c r="A951" t="s">
        <v>943</v>
      </c>
      <c r="B951" s="1">
        <v>45164</v>
      </c>
      <c r="C951" t="s">
        <v>30</v>
      </c>
      <c r="D951" t="s">
        <v>25</v>
      </c>
      <c r="E951" s="6">
        <v>31055</v>
      </c>
      <c r="F951">
        <v>6</v>
      </c>
      <c r="G951" t="str">
        <f>PROPER(TRIM(Table1[[#This Row],[Product]]))</f>
        <v>Tablet</v>
      </c>
      <c r="H951" t="str">
        <f>PROPER(TRIM(Table1[[#This Row],[Region]]))</f>
        <v>West</v>
      </c>
      <c r="I951" s="6">
        <f>Table1[[#This Row],[Sales]]*Table1[[#This Row],[Quantity]]</f>
        <v>186330</v>
      </c>
    </row>
    <row r="952" spans="1:9" x14ac:dyDescent="0.35">
      <c r="A952" t="s">
        <v>944</v>
      </c>
      <c r="B952" s="1">
        <v>45078</v>
      </c>
      <c r="C952" t="s">
        <v>30</v>
      </c>
      <c r="D952" t="s">
        <v>13</v>
      </c>
      <c r="E952" s="6">
        <v>15427</v>
      </c>
      <c r="F952">
        <v>9</v>
      </c>
      <c r="G952" t="str">
        <f>PROPER(TRIM(Table1[[#This Row],[Product]]))</f>
        <v>Laptop</v>
      </c>
      <c r="H952" t="str">
        <f>PROPER(TRIM(Table1[[#This Row],[Region]]))</f>
        <v>West</v>
      </c>
      <c r="I952" s="6">
        <f>Table1[[#This Row],[Sales]]*Table1[[#This Row],[Quantity]]</f>
        <v>138843</v>
      </c>
    </row>
    <row r="953" spans="1:9" x14ac:dyDescent="0.35">
      <c r="A953" t="s">
        <v>945</v>
      </c>
      <c r="B953" s="1">
        <v>45174</v>
      </c>
      <c r="C953" t="s">
        <v>30</v>
      </c>
      <c r="D953" t="s">
        <v>31</v>
      </c>
      <c r="E953" s="6">
        <v>9581</v>
      </c>
      <c r="F953">
        <v>1</v>
      </c>
      <c r="G953" t="str">
        <f>PROPER(TRIM(Table1[[#This Row],[Product]]))</f>
        <v>Monitor</v>
      </c>
      <c r="H953" t="str">
        <f>PROPER(TRIM(Table1[[#This Row],[Region]]))</f>
        <v>West</v>
      </c>
      <c r="I953" s="6">
        <f>Table1[[#This Row],[Sales]]*Table1[[#This Row],[Quantity]]</f>
        <v>9581</v>
      </c>
    </row>
    <row r="954" spans="1:9" x14ac:dyDescent="0.35">
      <c r="A954" t="s">
        <v>946</v>
      </c>
      <c r="B954" s="1">
        <v>45282</v>
      </c>
      <c r="C954" t="s">
        <v>30</v>
      </c>
      <c r="D954" t="s">
        <v>40</v>
      </c>
      <c r="E954" s="6">
        <v>32824</v>
      </c>
      <c r="F954">
        <v>5</v>
      </c>
      <c r="G954" t="str">
        <f>PROPER(TRIM(Table1[[#This Row],[Product]]))</f>
        <v>Headphones</v>
      </c>
      <c r="H954" t="str">
        <f>PROPER(TRIM(Table1[[#This Row],[Region]]))</f>
        <v>West</v>
      </c>
      <c r="I954" s="6">
        <f>Table1[[#This Row],[Sales]]*Table1[[#This Row],[Quantity]]</f>
        <v>164120</v>
      </c>
    </row>
    <row r="955" spans="1:9" x14ac:dyDescent="0.35">
      <c r="A955" t="s">
        <v>947</v>
      </c>
      <c r="B955" s="1">
        <v>45272</v>
      </c>
      <c r="C955" t="s">
        <v>33</v>
      </c>
      <c r="D955" t="s">
        <v>25</v>
      </c>
      <c r="E955" s="6">
        <v>16409</v>
      </c>
      <c r="F955">
        <v>9</v>
      </c>
      <c r="G955" t="str">
        <f>PROPER(TRIM(Table1[[#This Row],[Product]]))</f>
        <v>Tablet</v>
      </c>
      <c r="H955" t="str">
        <f>PROPER(TRIM(Table1[[#This Row],[Region]]))</f>
        <v>South</v>
      </c>
      <c r="I955" s="6">
        <f>Table1[[#This Row],[Sales]]*Table1[[#This Row],[Quantity]]</f>
        <v>147681</v>
      </c>
    </row>
    <row r="956" spans="1:9" x14ac:dyDescent="0.35">
      <c r="A956" t="s">
        <v>948</v>
      </c>
      <c r="B956" s="1">
        <v>45021</v>
      </c>
      <c r="C956" t="s">
        <v>33</v>
      </c>
      <c r="D956" t="s">
        <v>25</v>
      </c>
      <c r="E956" s="6">
        <v>7360</v>
      </c>
      <c r="F956">
        <v>7</v>
      </c>
      <c r="G956" t="str">
        <f>PROPER(TRIM(Table1[[#This Row],[Product]]))</f>
        <v>Tablet</v>
      </c>
      <c r="H956" t="str">
        <f>PROPER(TRIM(Table1[[#This Row],[Region]]))</f>
        <v>South</v>
      </c>
      <c r="I956" s="6">
        <f>Table1[[#This Row],[Sales]]*Table1[[#This Row],[Quantity]]</f>
        <v>51520</v>
      </c>
    </row>
    <row r="957" spans="1:9" x14ac:dyDescent="0.35">
      <c r="A957" t="s">
        <v>949</v>
      </c>
      <c r="B957" s="1">
        <v>45190</v>
      </c>
      <c r="C957" t="s">
        <v>18</v>
      </c>
      <c r="D957" t="s">
        <v>25</v>
      </c>
      <c r="E957" s="6">
        <v>18433</v>
      </c>
      <c r="F957">
        <v>7</v>
      </c>
      <c r="G957" t="str">
        <f>PROPER(TRIM(Table1[[#This Row],[Product]]))</f>
        <v>Tablet</v>
      </c>
      <c r="H957" t="str">
        <f>PROPER(TRIM(Table1[[#This Row],[Region]]))</f>
        <v>East</v>
      </c>
      <c r="I957" s="6">
        <f>Table1[[#This Row],[Sales]]*Table1[[#This Row],[Quantity]]</f>
        <v>129031</v>
      </c>
    </row>
    <row r="958" spans="1:9" x14ac:dyDescent="0.35">
      <c r="A958" t="s">
        <v>950</v>
      </c>
      <c r="B958" s="1">
        <v>44931</v>
      </c>
      <c r="C958" t="s">
        <v>33</v>
      </c>
      <c r="D958" t="s">
        <v>25</v>
      </c>
      <c r="E958" s="6">
        <v>21502</v>
      </c>
      <c r="F958">
        <v>1</v>
      </c>
      <c r="G958" t="str">
        <f>PROPER(TRIM(Table1[[#This Row],[Product]]))</f>
        <v>Tablet</v>
      </c>
      <c r="H958" t="str">
        <f>PROPER(TRIM(Table1[[#This Row],[Region]]))</f>
        <v>South</v>
      </c>
      <c r="I958" s="6">
        <f>Table1[[#This Row],[Sales]]*Table1[[#This Row],[Quantity]]</f>
        <v>21502</v>
      </c>
    </row>
    <row r="959" spans="1:9" x14ac:dyDescent="0.35">
      <c r="A959" t="s">
        <v>951</v>
      </c>
      <c r="B959" s="1">
        <v>45036</v>
      </c>
      <c r="C959" t="s">
        <v>30</v>
      </c>
      <c r="D959" t="s">
        <v>28</v>
      </c>
      <c r="E959" s="6">
        <v>27660</v>
      </c>
      <c r="F959">
        <v>8</v>
      </c>
      <c r="G959" t="str">
        <f>PROPER(TRIM(Table1[[#This Row],[Product]]))</f>
        <v>Phone</v>
      </c>
      <c r="H959" t="str">
        <f>PROPER(TRIM(Table1[[#This Row],[Region]]))</f>
        <v>West</v>
      </c>
      <c r="I959" s="6">
        <f>Table1[[#This Row],[Sales]]*Table1[[#This Row],[Quantity]]</f>
        <v>221280</v>
      </c>
    </row>
    <row r="960" spans="1:9" x14ac:dyDescent="0.35">
      <c r="A960" t="s">
        <v>952</v>
      </c>
      <c r="B960" s="1">
        <v>44956</v>
      </c>
      <c r="C960" t="s">
        <v>8</v>
      </c>
      <c r="D960" t="s">
        <v>25</v>
      </c>
      <c r="E960" s="6">
        <v>3155</v>
      </c>
      <c r="F960">
        <v>4</v>
      </c>
      <c r="G960" t="str">
        <f>PROPER(TRIM(Table1[[#This Row],[Product]]))</f>
        <v>Tablet</v>
      </c>
      <c r="H960" t="str">
        <f>PROPER(TRIM(Table1[[#This Row],[Region]]))</f>
        <v>North</v>
      </c>
      <c r="I960" s="6">
        <f>Table1[[#This Row],[Sales]]*Table1[[#This Row],[Quantity]]</f>
        <v>12620</v>
      </c>
    </row>
    <row r="961" spans="1:9" x14ac:dyDescent="0.35">
      <c r="A961" t="s">
        <v>953</v>
      </c>
      <c r="B961" s="1">
        <v>45271</v>
      </c>
      <c r="C961" t="s">
        <v>8</v>
      </c>
      <c r="D961" t="s">
        <v>13</v>
      </c>
      <c r="E961" s="6">
        <v>30910</v>
      </c>
      <c r="F961">
        <v>1</v>
      </c>
      <c r="G961" t="str">
        <f>PROPER(TRIM(Table1[[#This Row],[Product]]))</f>
        <v>Laptop</v>
      </c>
      <c r="H961" t="str">
        <f>PROPER(TRIM(Table1[[#This Row],[Region]]))</f>
        <v>North</v>
      </c>
      <c r="I961" s="6">
        <f>Table1[[#This Row],[Sales]]*Table1[[#This Row],[Quantity]]</f>
        <v>30910</v>
      </c>
    </row>
    <row r="962" spans="1:9" x14ac:dyDescent="0.35">
      <c r="A962" t="s">
        <v>954</v>
      </c>
      <c r="B962" s="1">
        <v>44960</v>
      </c>
      <c r="C962" t="s">
        <v>33</v>
      </c>
      <c r="D962" t="s">
        <v>31</v>
      </c>
      <c r="E962" s="6">
        <v>47548</v>
      </c>
      <c r="F962">
        <v>3</v>
      </c>
      <c r="G962" t="str">
        <f>PROPER(TRIM(Table1[[#This Row],[Product]]))</f>
        <v>Monitor</v>
      </c>
      <c r="H962" t="str">
        <f>PROPER(TRIM(Table1[[#This Row],[Region]]))</f>
        <v>South</v>
      </c>
      <c r="I962" s="6">
        <f>Table1[[#This Row],[Sales]]*Table1[[#This Row],[Quantity]]</f>
        <v>142644</v>
      </c>
    </row>
    <row r="963" spans="1:9" x14ac:dyDescent="0.35">
      <c r="A963" t="s">
        <v>955</v>
      </c>
      <c r="B963" s="1">
        <v>45194</v>
      </c>
      <c r="C963" t="s">
        <v>8</v>
      </c>
      <c r="D963" t="s">
        <v>13</v>
      </c>
      <c r="E963" s="6">
        <v>32157</v>
      </c>
      <c r="F963">
        <v>3</v>
      </c>
      <c r="G963" t="str">
        <f>PROPER(TRIM(Table1[[#This Row],[Product]]))</f>
        <v>Laptop</v>
      </c>
      <c r="H963" t="str">
        <f>PROPER(TRIM(Table1[[#This Row],[Region]]))</f>
        <v>North</v>
      </c>
      <c r="I963" s="6">
        <f>Table1[[#This Row],[Sales]]*Table1[[#This Row],[Quantity]]</f>
        <v>96471</v>
      </c>
    </row>
    <row r="964" spans="1:9" x14ac:dyDescent="0.35">
      <c r="A964" t="s">
        <v>956</v>
      </c>
      <c r="B964" s="1">
        <v>45102</v>
      </c>
      <c r="C964" t="s">
        <v>18</v>
      </c>
      <c r="D964" t="s">
        <v>31</v>
      </c>
      <c r="E964" s="6">
        <v>27055</v>
      </c>
      <c r="F964">
        <v>7</v>
      </c>
      <c r="G964" t="str">
        <f>PROPER(TRIM(Table1[[#This Row],[Product]]))</f>
        <v>Monitor</v>
      </c>
      <c r="H964" t="str">
        <f>PROPER(TRIM(Table1[[#This Row],[Region]]))</f>
        <v>East</v>
      </c>
      <c r="I964" s="6">
        <f>Table1[[#This Row],[Sales]]*Table1[[#This Row],[Quantity]]</f>
        <v>189385</v>
      </c>
    </row>
    <row r="965" spans="1:9" x14ac:dyDescent="0.35">
      <c r="A965" t="s">
        <v>957</v>
      </c>
      <c r="B965" s="1">
        <v>45187</v>
      </c>
      <c r="C965" t="s">
        <v>33</v>
      </c>
      <c r="D965" t="s">
        <v>13</v>
      </c>
      <c r="E965" s="6">
        <v>29290</v>
      </c>
      <c r="F965">
        <v>8</v>
      </c>
      <c r="G965" t="str">
        <f>PROPER(TRIM(Table1[[#This Row],[Product]]))</f>
        <v>Laptop</v>
      </c>
      <c r="H965" t="str">
        <f>PROPER(TRIM(Table1[[#This Row],[Region]]))</f>
        <v>South</v>
      </c>
      <c r="I965" s="6">
        <f>Table1[[#This Row],[Sales]]*Table1[[#This Row],[Quantity]]</f>
        <v>234320</v>
      </c>
    </row>
    <row r="966" spans="1:9" x14ac:dyDescent="0.35">
      <c r="A966" t="s">
        <v>957</v>
      </c>
      <c r="B966" s="1">
        <v>45187</v>
      </c>
      <c r="C966" t="s">
        <v>33</v>
      </c>
      <c r="D966" t="s">
        <v>13</v>
      </c>
      <c r="E966" s="6">
        <v>29290</v>
      </c>
      <c r="F966">
        <v>8</v>
      </c>
      <c r="G966" t="str">
        <f>PROPER(TRIM(Table1[[#This Row],[Product]]))</f>
        <v>Laptop</v>
      </c>
      <c r="H966" t="str">
        <f>PROPER(TRIM(Table1[[#This Row],[Region]]))</f>
        <v>South</v>
      </c>
      <c r="I966" s="6">
        <f>Table1[[#This Row],[Sales]]*Table1[[#This Row],[Quantity]]</f>
        <v>234320</v>
      </c>
    </row>
    <row r="967" spans="1:9" x14ac:dyDescent="0.35">
      <c r="A967" t="s">
        <v>958</v>
      </c>
      <c r="B967" s="1">
        <v>44927</v>
      </c>
      <c r="C967" t="s">
        <v>8</v>
      </c>
      <c r="D967" t="s">
        <v>25</v>
      </c>
      <c r="E967" s="6">
        <v>31903</v>
      </c>
      <c r="F967">
        <v>1</v>
      </c>
      <c r="G967" t="str">
        <f>PROPER(TRIM(Table1[[#This Row],[Product]]))</f>
        <v>Tablet</v>
      </c>
      <c r="H967" t="str">
        <f>PROPER(TRIM(Table1[[#This Row],[Region]]))</f>
        <v>North</v>
      </c>
      <c r="I967" s="6">
        <f>Table1[[#This Row],[Sales]]*Table1[[#This Row],[Quantity]]</f>
        <v>31903</v>
      </c>
    </row>
    <row r="968" spans="1:9" x14ac:dyDescent="0.35">
      <c r="A968" t="s">
        <v>959</v>
      </c>
      <c r="B968" s="1">
        <v>45182</v>
      </c>
      <c r="C968" t="s">
        <v>8</v>
      </c>
      <c r="D968" t="s">
        <v>25</v>
      </c>
      <c r="E968" s="6">
        <v>36392</v>
      </c>
      <c r="F968">
        <v>9</v>
      </c>
      <c r="G968" t="str">
        <f>PROPER(TRIM(Table1[[#This Row],[Product]]))</f>
        <v>Tablet</v>
      </c>
      <c r="H968" t="str">
        <f>PROPER(TRIM(Table1[[#This Row],[Region]]))</f>
        <v>North</v>
      </c>
      <c r="I968" s="6">
        <f>Table1[[#This Row],[Sales]]*Table1[[#This Row],[Quantity]]</f>
        <v>327528</v>
      </c>
    </row>
    <row r="969" spans="1:9" x14ac:dyDescent="0.35">
      <c r="A969" t="s">
        <v>960</v>
      </c>
      <c r="B969" s="1">
        <v>44944</v>
      </c>
      <c r="C969" t="s">
        <v>30</v>
      </c>
      <c r="D969" t="s">
        <v>40</v>
      </c>
      <c r="E969" s="6">
        <v>21163</v>
      </c>
      <c r="F969">
        <v>5</v>
      </c>
      <c r="G969" t="str">
        <f>PROPER(TRIM(Table1[[#This Row],[Product]]))</f>
        <v>Headphones</v>
      </c>
      <c r="H969" t="str">
        <f>PROPER(TRIM(Table1[[#This Row],[Region]]))</f>
        <v>West</v>
      </c>
      <c r="I969" s="6">
        <f>Table1[[#This Row],[Sales]]*Table1[[#This Row],[Quantity]]</f>
        <v>105815</v>
      </c>
    </row>
    <row r="970" spans="1:9" x14ac:dyDescent="0.35">
      <c r="A970" t="s">
        <v>961</v>
      </c>
      <c r="B970" s="1">
        <v>44979</v>
      </c>
      <c r="C970" t="s">
        <v>33</v>
      </c>
      <c r="D970" t="s">
        <v>25</v>
      </c>
      <c r="E970" s="6">
        <v>48618</v>
      </c>
      <c r="F970">
        <v>2</v>
      </c>
      <c r="G970" t="str">
        <f>PROPER(TRIM(Table1[[#This Row],[Product]]))</f>
        <v>Tablet</v>
      </c>
      <c r="H970" t="str">
        <f>PROPER(TRIM(Table1[[#This Row],[Region]]))</f>
        <v>South</v>
      </c>
      <c r="I970" s="6">
        <f>Table1[[#This Row],[Sales]]*Table1[[#This Row],[Quantity]]</f>
        <v>97236</v>
      </c>
    </row>
    <row r="971" spans="1:9" x14ac:dyDescent="0.35">
      <c r="A971" t="s">
        <v>962</v>
      </c>
      <c r="B971" s="1">
        <v>44980</v>
      </c>
      <c r="C971" t="s">
        <v>8</v>
      </c>
      <c r="D971" t="s">
        <v>25</v>
      </c>
      <c r="E971" s="6">
        <v>25621</v>
      </c>
      <c r="F971">
        <v>5</v>
      </c>
      <c r="G971" t="str">
        <f>PROPER(TRIM(Table1[[#This Row],[Product]]))</f>
        <v>Tablet</v>
      </c>
      <c r="H971" t="str">
        <f>PROPER(TRIM(Table1[[#This Row],[Region]]))</f>
        <v>North</v>
      </c>
      <c r="I971" s="6">
        <f>Table1[[#This Row],[Sales]]*Table1[[#This Row],[Quantity]]</f>
        <v>128105</v>
      </c>
    </row>
    <row r="972" spans="1:9" x14ac:dyDescent="0.35">
      <c r="A972" t="s">
        <v>963</v>
      </c>
      <c r="B972" s="1">
        <v>45019</v>
      </c>
      <c r="C972" t="s">
        <v>30</v>
      </c>
      <c r="D972" t="s">
        <v>31</v>
      </c>
      <c r="E972" s="6">
        <v>29728</v>
      </c>
      <c r="F972">
        <v>10</v>
      </c>
      <c r="G972" t="str">
        <f>PROPER(TRIM(Table1[[#This Row],[Product]]))</f>
        <v>Monitor</v>
      </c>
      <c r="H972" t="str">
        <f>PROPER(TRIM(Table1[[#This Row],[Region]]))</f>
        <v>West</v>
      </c>
      <c r="I972" s="6">
        <f>Table1[[#This Row],[Sales]]*Table1[[#This Row],[Quantity]]</f>
        <v>297280</v>
      </c>
    </row>
    <row r="973" spans="1:9" x14ac:dyDescent="0.35">
      <c r="A973" t="s">
        <v>964</v>
      </c>
      <c r="B973" s="1">
        <v>45156</v>
      </c>
      <c r="C973" t="s">
        <v>30</v>
      </c>
      <c r="D973" t="s">
        <v>28</v>
      </c>
      <c r="E973" s="6">
        <v>44973</v>
      </c>
      <c r="F973">
        <v>9</v>
      </c>
      <c r="G973" t="str">
        <f>PROPER(TRIM(Table1[[#This Row],[Product]]))</f>
        <v>Phone</v>
      </c>
      <c r="H973" t="str">
        <f>PROPER(TRIM(Table1[[#This Row],[Region]]))</f>
        <v>West</v>
      </c>
      <c r="I973" s="6">
        <f>Table1[[#This Row],[Sales]]*Table1[[#This Row],[Quantity]]</f>
        <v>404757</v>
      </c>
    </row>
    <row r="974" spans="1:9" x14ac:dyDescent="0.35">
      <c r="A974" t="s">
        <v>965</v>
      </c>
      <c r="B974" s="1">
        <v>45213</v>
      </c>
      <c r="C974" t="s">
        <v>33</v>
      </c>
      <c r="D974" t="s">
        <v>28</v>
      </c>
      <c r="E974" s="6">
        <v>29779</v>
      </c>
      <c r="F974">
        <v>7</v>
      </c>
      <c r="G974" t="str">
        <f>PROPER(TRIM(Table1[[#This Row],[Product]]))</f>
        <v>Phone</v>
      </c>
      <c r="H974" t="str">
        <f>PROPER(TRIM(Table1[[#This Row],[Region]]))</f>
        <v>South</v>
      </c>
      <c r="I974" s="6">
        <f>Table1[[#This Row],[Sales]]*Table1[[#This Row],[Quantity]]</f>
        <v>208453</v>
      </c>
    </row>
    <row r="975" spans="1:9" x14ac:dyDescent="0.35">
      <c r="A975" t="s">
        <v>966</v>
      </c>
      <c r="B975" s="1">
        <v>45244</v>
      </c>
      <c r="C975" t="s">
        <v>8</v>
      </c>
      <c r="D975" t="s">
        <v>28</v>
      </c>
      <c r="E975" s="6">
        <v>10013</v>
      </c>
      <c r="F975">
        <v>3</v>
      </c>
      <c r="G975" t="str">
        <f>PROPER(TRIM(Table1[[#This Row],[Product]]))</f>
        <v>Phone</v>
      </c>
      <c r="H975" t="str">
        <f>PROPER(TRIM(Table1[[#This Row],[Region]]))</f>
        <v>North</v>
      </c>
      <c r="I975" s="6">
        <f>Table1[[#This Row],[Sales]]*Table1[[#This Row],[Quantity]]</f>
        <v>30039</v>
      </c>
    </row>
    <row r="976" spans="1:9" x14ac:dyDescent="0.35">
      <c r="A976" t="s">
        <v>967</v>
      </c>
      <c r="B976" s="1">
        <v>44956</v>
      </c>
      <c r="C976" t="s">
        <v>33</v>
      </c>
      <c r="D976" t="s">
        <v>40</v>
      </c>
      <c r="E976" s="6">
        <v>18486</v>
      </c>
      <c r="F976">
        <v>3</v>
      </c>
      <c r="G976" t="str">
        <f>PROPER(TRIM(Table1[[#This Row],[Product]]))</f>
        <v>Headphones</v>
      </c>
      <c r="H976" t="str">
        <f>PROPER(TRIM(Table1[[#This Row],[Region]]))</f>
        <v>South</v>
      </c>
      <c r="I976" s="6">
        <f>Table1[[#This Row],[Sales]]*Table1[[#This Row],[Quantity]]</f>
        <v>55458</v>
      </c>
    </row>
    <row r="977" spans="1:9" x14ac:dyDescent="0.35">
      <c r="A977" t="s">
        <v>968</v>
      </c>
      <c r="B977" s="1">
        <v>45146</v>
      </c>
      <c r="C977" t="s">
        <v>30</v>
      </c>
      <c r="D977" t="s">
        <v>25</v>
      </c>
      <c r="E977" s="6">
        <v>10031</v>
      </c>
      <c r="F977">
        <v>10</v>
      </c>
      <c r="G977" t="str">
        <f>PROPER(TRIM(Table1[[#This Row],[Product]]))</f>
        <v>Tablet</v>
      </c>
      <c r="H977" t="str">
        <f>PROPER(TRIM(Table1[[#This Row],[Region]]))</f>
        <v>West</v>
      </c>
      <c r="I977" s="6">
        <f>Table1[[#This Row],[Sales]]*Table1[[#This Row],[Quantity]]</f>
        <v>100310</v>
      </c>
    </row>
    <row r="978" spans="1:9" x14ac:dyDescent="0.35">
      <c r="A978" t="s">
        <v>969</v>
      </c>
      <c r="B978" s="1">
        <v>45064</v>
      </c>
      <c r="C978" t="s">
        <v>30</v>
      </c>
      <c r="D978" t="s">
        <v>31</v>
      </c>
      <c r="E978" s="6">
        <v>8462</v>
      </c>
      <c r="F978">
        <v>10</v>
      </c>
      <c r="G978" t="str">
        <f>PROPER(TRIM(Table1[[#This Row],[Product]]))</f>
        <v>Monitor</v>
      </c>
      <c r="H978" t="str">
        <f>PROPER(TRIM(Table1[[#This Row],[Region]]))</f>
        <v>West</v>
      </c>
      <c r="I978" s="6">
        <f>Table1[[#This Row],[Sales]]*Table1[[#This Row],[Quantity]]</f>
        <v>84620</v>
      </c>
    </row>
    <row r="979" spans="1:9" x14ac:dyDescent="0.35">
      <c r="A979" t="s">
        <v>970</v>
      </c>
      <c r="B979" s="1">
        <v>45210</v>
      </c>
      <c r="C979" t="s">
        <v>33</v>
      </c>
      <c r="D979" t="s">
        <v>28</v>
      </c>
      <c r="E979" s="6">
        <v>14310</v>
      </c>
      <c r="F979">
        <v>5</v>
      </c>
      <c r="G979" t="str">
        <f>PROPER(TRIM(Table1[[#This Row],[Product]]))</f>
        <v>Phone</v>
      </c>
      <c r="H979" t="str">
        <f>PROPER(TRIM(Table1[[#This Row],[Region]]))</f>
        <v>South</v>
      </c>
      <c r="I979" s="6">
        <f>Table1[[#This Row],[Sales]]*Table1[[#This Row],[Quantity]]</f>
        <v>71550</v>
      </c>
    </row>
    <row r="980" spans="1:9" x14ac:dyDescent="0.35">
      <c r="A980" t="s">
        <v>971</v>
      </c>
      <c r="B980" s="1">
        <v>45061</v>
      </c>
      <c r="C980" t="s">
        <v>8</v>
      </c>
      <c r="D980" t="s">
        <v>31</v>
      </c>
      <c r="E980" s="6">
        <v>43488</v>
      </c>
      <c r="F980">
        <v>6</v>
      </c>
      <c r="G980" t="str">
        <f>PROPER(TRIM(Table1[[#This Row],[Product]]))</f>
        <v>Monitor</v>
      </c>
      <c r="H980" t="str">
        <f>PROPER(TRIM(Table1[[#This Row],[Region]]))</f>
        <v>North</v>
      </c>
      <c r="I980" s="6">
        <f>Table1[[#This Row],[Sales]]*Table1[[#This Row],[Quantity]]</f>
        <v>260928</v>
      </c>
    </row>
    <row r="981" spans="1:9" x14ac:dyDescent="0.35">
      <c r="A981" t="s">
        <v>972</v>
      </c>
      <c r="B981" s="1">
        <v>45152</v>
      </c>
      <c r="C981" t="s">
        <v>8</v>
      </c>
      <c r="D981" t="s">
        <v>40</v>
      </c>
      <c r="E981" s="6">
        <v>34438</v>
      </c>
      <c r="F981">
        <v>2</v>
      </c>
      <c r="G981" t="str">
        <f>PROPER(TRIM(Table1[[#This Row],[Product]]))</f>
        <v>Headphones</v>
      </c>
      <c r="H981" t="str">
        <f>PROPER(TRIM(Table1[[#This Row],[Region]]))</f>
        <v>North</v>
      </c>
      <c r="I981" s="6">
        <f>Table1[[#This Row],[Sales]]*Table1[[#This Row],[Quantity]]</f>
        <v>68876</v>
      </c>
    </row>
    <row r="982" spans="1:9" x14ac:dyDescent="0.35">
      <c r="A982" t="s">
        <v>973</v>
      </c>
      <c r="B982" s="1">
        <v>45196</v>
      </c>
      <c r="C982" t="s">
        <v>33</v>
      </c>
      <c r="D982" t="s">
        <v>13</v>
      </c>
      <c r="E982" s="6">
        <v>626</v>
      </c>
      <c r="F982">
        <v>5</v>
      </c>
      <c r="G982" t="str">
        <f>PROPER(TRIM(Table1[[#This Row],[Product]]))</f>
        <v>Laptop</v>
      </c>
      <c r="H982" t="str">
        <f>PROPER(TRIM(Table1[[#This Row],[Region]]))</f>
        <v>South</v>
      </c>
      <c r="I982" s="6">
        <f>Table1[[#This Row],[Sales]]*Table1[[#This Row],[Quantity]]</f>
        <v>3130</v>
      </c>
    </row>
    <row r="983" spans="1:9" x14ac:dyDescent="0.35">
      <c r="A983" t="s">
        <v>974</v>
      </c>
      <c r="B983" s="1">
        <v>45139</v>
      </c>
      <c r="C983" t="s">
        <v>30</v>
      </c>
      <c r="D983" t="s">
        <v>31</v>
      </c>
      <c r="E983" s="6">
        <v>29393</v>
      </c>
      <c r="F983">
        <v>6</v>
      </c>
      <c r="G983" t="str">
        <f>PROPER(TRIM(Table1[[#This Row],[Product]]))</f>
        <v>Monitor</v>
      </c>
      <c r="H983" t="str">
        <f>PROPER(TRIM(Table1[[#This Row],[Region]]))</f>
        <v>West</v>
      </c>
      <c r="I983" s="6">
        <f>Table1[[#This Row],[Sales]]*Table1[[#This Row],[Quantity]]</f>
        <v>176358</v>
      </c>
    </row>
    <row r="984" spans="1:9" x14ac:dyDescent="0.35">
      <c r="A984" t="s">
        <v>975</v>
      </c>
      <c r="B984" s="1">
        <v>45063</v>
      </c>
      <c r="C984" t="s">
        <v>8</v>
      </c>
      <c r="D984" t="s">
        <v>31</v>
      </c>
      <c r="E984" s="6">
        <v>8389</v>
      </c>
      <c r="F984">
        <v>2</v>
      </c>
      <c r="G984" t="str">
        <f>PROPER(TRIM(Table1[[#This Row],[Product]]))</f>
        <v>Monitor</v>
      </c>
      <c r="H984" t="str">
        <f>PROPER(TRIM(Table1[[#This Row],[Region]]))</f>
        <v>North</v>
      </c>
      <c r="I984" s="6">
        <f>Table1[[#This Row],[Sales]]*Table1[[#This Row],[Quantity]]</f>
        <v>16778</v>
      </c>
    </row>
    <row r="985" spans="1:9" x14ac:dyDescent="0.35">
      <c r="A985" t="s">
        <v>976</v>
      </c>
      <c r="B985" s="1">
        <v>45103</v>
      </c>
      <c r="C985" t="s">
        <v>33</v>
      </c>
      <c r="D985" t="s">
        <v>40</v>
      </c>
      <c r="E985" s="6">
        <v>7610</v>
      </c>
      <c r="F985">
        <v>10</v>
      </c>
      <c r="G985" t="str">
        <f>PROPER(TRIM(Table1[[#This Row],[Product]]))</f>
        <v>Headphones</v>
      </c>
      <c r="H985" t="str">
        <f>PROPER(TRIM(Table1[[#This Row],[Region]]))</f>
        <v>South</v>
      </c>
      <c r="I985" s="6">
        <f>Table1[[#This Row],[Sales]]*Table1[[#This Row],[Quantity]]</f>
        <v>76100</v>
      </c>
    </row>
    <row r="986" spans="1:9" x14ac:dyDescent="0.35">
      <c r="A986" t="s">
        <v>977</v>
      </c>
      <c r="B986" s="1">
        <v>44953</v>
      </c>
      <c r="C986" t="s">
        <v>33</v>
      </c>
      <c r="D986" t="s">
        <v>13</v>
      </c>
      <c r="E986" s="6">
        <v>15498</v>
      </c>
      <c r="F986">
        <v>10</v>
      </c>
      <c r="G986" t="str">
        <f>PROPER(TRIM(Table1[[#This Row],[Product]]))</f>
        <v>Laptop</v>
      </c>
      <c r="H986" t="str">
        <f>PROPER(TRIM(Table1[[#This Row],[Region]]))</f>
        <v>South</v>
      </c>
      <c r="I986" s="6">
        <f>Table1[[#This Row],[Sales]]*Table1[[#This Row],[Quantity]]</f>
        <v>154980</v>
      </c>
    </row>
    <row r="987" spans="1:9" x14ac:dyDescent="0.35">
      <c r="A987" t="s">
        <v>978</v>
      </c>
      <c r="B987" s="1">
        <v>45280</v>
      </c>
      <c r="C987" t="s">
        <v>8</v>
      </c>
      <c r="D987" t="s">
        <v>40</v>
      </c>
      <c r="E987" s="6">
        <v>10322</v>
      </c>
      <c r="F987">
        <v>2</v>
      </c>
      <c r="G987" t="str">
        <f>PROPER(TRIM(Table1[[#This Row],[Product]]))</f>
        <v>Headphones</v>
      </c>
      <c r="H987" t="str">
        <f>PROPER(TRIM(Table1[[#This Row],[Region]]))</f>
        <v>North</v>
      </c>
      <c r="I987" s="6">
        <f>Table1[[#This Row],[Sales]]*Table1[[#This Row],[Quantity]]</f>
        <v>20644</v>
      </c>
    </row>
    <row r="988" spans="1:9" x14ac:dyDescent="0.35">
      <c r="A988" t="s">
        <v>979</v>
      </c>
      <c r="B988" s="1">
        <v>45122</v>
      </c>
      <c r="C988" t="s">
        <v>30</v>
      </c>
      <c r="D988" t="s">
        <v>31</v>
      </c>
      <c r="E988" s="6">
        <v>22272</v>
      </c>
      <c r="F988">
        <v>5</v>
      </c>
      <c r="G988" t="str">
        <f>PROPER(TRIM(Table1[[#This Row],[Product]]))</f>
        <v>Monitor</v>
      </c>
      <c r="H988" t="str">
        <f>PROPER(TRIM(Table1[[#This Row],[Region]]))</f>
        <v>West</v>
      </c>
      <c r="I988" s="6">
        <f>Table1[[#This Row],[Sales]]*Table1[[#This Row],[Quantity]]</f>
        <v>111360</v>
      </c>
    </row>
    <row r="989" spans="1:9" x14ac:dyDescent="0.35">
      <c r="A989" t="s">
        <v>980</v>
      </c>
      <c r="B989" s="1">
        <v>45064</v>
      </c>
      <c r="C989" t="s">
        <v>33</v>
      </c>
      <c r="D989" t="s">
        <v>40</v>
      </c>
      <c r="E989" s="6">
        <v>38026</v>
      </c>
      <c r="F989">
        <v>2</v>
      </c>
      <c r="G989" t="str">
        <f>PROPER(TRIM(Table1[[#This Row],[Product]]))</f>
        <v>Headphones</v>
      </c>
      <c r="H989" t="str">
        <f>PROPER(TRIM(Table1[[#This Row],[Region]]))</f>
        <v>South</v>
      </c>
      <c r="I989" s="6">
        <f>Table1[[#This Row],[Sales]]*Table1[[#This Row],[Quantity]]</f>
        <v>76052</v>
      </c>
    </row>
    <row r="990" spans="1:9" x14ac:dyDescent="0.35">
      <c r="A990" t="s">
        <v>981</v>
      </c>
      <c r="B990" s="1">
        <v>45252</v>
      </c>
      <c r="C990" t="s">
        <v>8</v>
      </c>
      <c r="D990" t="s">
        <v>25</v>
      </c>
      <c r="E990" s="6">
        <v>44990</v>
      </c>
      <c r="F990">
        <v>8</v>
      </c>
      <c r="G990" t="str">
        <f>PROPER(TRIM(Table1[[#This Row],[Product]]))</f>
        <v>Tablet</v>
      </c>
      <c r="H990" t="str">
        <f>PROPER(TRIM(Table1[[#This Row],[Region]]))</f>
        <v>North</v>
      </c>
      <c r="I990" s="6">
        <f>Table1[[#This Row],[Sales]]*Table1[[#This Row],[Quantity]]</f>
        <v>359920</v>
      </c>
    </row>
    <row r="991" spans="1:9" x14ac:dyDescent="0.35">
      <c r="A991" t="s">
        <v>982</v>
      </c>
      <c r="B991" s="1">
        <v>45171</v>
      </c>
      <c r="C991" t="s">
        <v>30</v>
      </c>
      <c r="D991" t="s">
        <v>40</v>
      </c>
      <c r="E991" s="6">
        <v>8915</v>
      </c>
      <c r="F991">
        <v>5</v>
      </c>
      <c r="G991" t="str">
        <f>PROPER(TRIM(Table1[[#This Row],[Product]]))</f>
        <v>Headphones</v>
      </c>
      <c r="H991" t="str">
        <f>PROPER(TRIM(Table1[[#This Row],[Region]]))</f>
        <v>West</v>
      </c>
      <c r="I991" s="6">
        <f>Table1[[#This Row],[Sales]]*Table1[[#This Row],[Quantity]]</f>
        <v>44575</v>
      </c>
    </row>
    <row r="992" spans="1:9" x14ac:dyDescent="0.35">
      <c r="A992" t="s">
        <v>983</v>
      </c>
      <c r="B992" s="1">
        <v>45082</v>
      </c>
      <c r="C992" t="s">
        <v>33</v>
      </c>
      <c r="D992" t="s">
        <v>13</v>
      </c>
      <c r="E992" s="6">
        <v>41814</v>
      </c>
      <c r="F992">
        <v>1</v>
      </c>
      <c r="G992" t="str">
        <f>PROPER(TRIM(Table1[[#This Row],[Product]]))</f>
        <v>Laptop</v>
      </c>
      <c r="H992" t="str">
        <f>PROPER(TRIM(Table1[[#This Row],[Region]]))</f>
        <v>South</v>
      </c>
      <c r="I992" s="6">
        <f>Table1[[#This Row],[Sales]]*Table1[[#This Row],[Quantity]]</f>
        <v>41814</v>
      </c>
    </row>
    <row r="993" spans="1:9" x14ac:dyDescent="0.35">
      <c r="A993" t="s">
        <v>984</v>
      </c>
      <c r="B993" s="1">
        <v>45108</v>
      </c>
      <c r="C993" t="s">
        <v>8</v>
      </c>
      <c r="D993" t="s">
        <v>13</v>
      </c>
      <c r="E993" s="6">
        <v>44263</v>
      </c>
      <c r="F993">
        <v>1</v>
      </c>
      <c r="G993" t="str">
        <f>PROPER(TRIM(Table1[[#This Row],[Product]]))</f>
        <v>Laptop</v>
      </c>
      <c r="H993" t="str">
        <f>PROPER(TRIM(Table1[[#This Row],[Region]]))</f>
        <v>North</v>
      </c>
      <c r="I993" s="6">
        <f>Table1[[#This Row],[Sales]]*Table1[[#This Row],[Quantity]]</f>
        <v>44263</v>
      </c>
    </row>
    <row r="994" spans="1:9" x14ac:dyDescent="0.35">
      <c r="A994" t="s">
        <v>985</v>
      </c>
      <c r="B994" s="1">
        <v>45291</v>
      </c>
      <c r="C994" t="s">
        <v>33</v>
      </c>
      <c r="D994" t="s">
        <v>40</v>
      </c>
      <c r="E994" s="6">
        <v>27179</v>
      </c>
      <c r="F994">
        <v>6</v>
      </c>
      <c r="G994" t="str">
        <f>PROPER(TRIM(Table1[[#This Row],[Product]]))</f>
        <v>Headphones</v>
      </c>
      <c r="H994" t="str">
        <f>PROPER(TRIM(Table1[[#This Row],[Region]]))</f>
        <v>South</v>
      </c>
      <c r="I994" s="6">
        <f>Table1[[#This Row],[Sales]]*Table1[[#This Row],[Quantity]]</f>
        <v>163074</v>
      </c>
    </row>
    <row r="995" spans="1:9" x14ac:dyDescent="0.35">
      <c r="A995" t="s">
        <v>986</v>
      </c>
      <c r="B995" s="1">
        <v>45059</v>
      </c>
      <c r="C995" t="s">
        <v>18</v>
      </c>
      <c r="D995" t="s">
        <v>40</v>
      </c>
      <c r="E995" s="6">
        <v>398</v>
      </c>
      <c r="F995">
        <v>3</v>
      </c>
      <c r="G995" t="str">
        <f>PROPER(TRIM(Table1[[#This Row],[Product]]))</f>
        <v>Headphones</v>
      </c>
      <c r="H995" t="str">
        <f>PROPER(TRIM(Table1[[#This Row],[Region]]))</f>
        <v>East</v>
      </c>
      <c r="I995" s="6">
        <f>Table1[[#This Row],[Sales]]*Table1[[#This Row],[Quantity]]</f>
        <v>1194</v>
      </c>
    </row>
    <row r="996" spans="1:9" x14ac:dyDescent="0.35">
      <c r="A996" t="s">
        <v>987</v>
      </c>
      <c r="B996" s="1">
        <v>45009</v>
      </c>
      <c r="C996" t="s">
        <v>33</v>
      </c>
      <c r="D996" t="s">
        <v>31</v>
      </c>
      <c r="E996" s="6">
        <v>9675</v>
      </c>
      <c r="F996">
        <v>8</v>
      </c>
      <c r="G996" t="str">
        <f>PROPER(TRIM(Table1[[#This Row],[Product]]))</f>
        <v>Monitor</v>
      </c>
      <c r="H996" t="str">
        <f>PROPER(TRIM(Table1[[#This Row],[Region]]))</f>
        <v>South</v>
      </c>
      <c r="I996" s="6">
        <f>Table1[[#This Row],[Sales]]*Table1[[#This Row],[Quantity]]</f>
        <v>77400</v>
      </c>
    </row>
    <row r="997" spans="1:9" x14ac:dyDescent="0.35">
      <c r="A997" t="s">
        <v>988</v>
      </c>
      <c r="B997" s="1">
        <v>44958</v>
      </c>
      <c r="C997" t="s">
        <v>33</v>
      </c>
      <c r="D997" t="s">
        <v>31</v>
      </c>
      <c r="E997" s="6">
        <v>20226</v>
      </c>
      <c r="F997">
        <v>4</v>
      </c>
      <c r="G997" t="str">
        <f>PROPER(TRIM(Table1[[#This Row],[Product]]))</f>
        <v>Monitor</v>
      </c>
      <c r="H997" t="str">
        <f>PROPER(TRIM(Table1[[#This Row],[Region]]))</f>
        <v>South</v>
      </c>
      <c r="I997" s="6">
        <f>Table1[[#This Row],[Sales]]*Table1[[#This Row],[Quantity]]</f>
        <v>80904</v>
      </c>
    </row>
    <row r="998" spans="1:9" x14ac:dyDescent="0.35">
      <c r="A998" t="s">
        <v>989</v>
      </c>
      <c r="B998" s="1">
        <v>45165</v>
      </c>
      <c r="C998" t="s">
        <v>18</v>
      </c>
      <c r="D998" t="s">
        <v>28</v>
      </c>
      <c r="E998" s="6">
        <v>14762</v>
      </c>
      <c r="F998">
        <v>9</v>
      </c>
      <c r="G998" t="str">
        <f>PROPER(TRIM(Table1[[#This Row],[Product]]))</f>
        <v>Phone</v>
      </c>
      <c r="H998" t="str">
        <f>PROPER(TRIM(Table1[[#This Row],[Region]]))</f>
        <v>East</v>
      </c>
      <c r="I998" s="6">
        <f>Table1[[#This Row],[Sales]]*Table1[[#This Row],[Quantity]]</f>
        <v>132858</v>
      </c>
    </row>
    <row r="999" spans="1:9" x14ac:dyDescent="0.35">
      <c r="A999" t="s">
        <v>990</v>
      </c>
      <c r="B999" s="1">
        <v>45075</v>
      </c>
      <c r="C999" t="s">
        <v>30</v>
      </c>
      <c r="D999" t="s">
        <v>28</v>
      </c>
      <c r="E999" s="6">
        <v>34541</v>
      </c>
      <c r="F999">
        <v>5</v>
      </c>
      <c r="G999" t="str">
        <f>PROPER(TRIM(Table1[[#This Row],[Product]]))</f>
        <v>Phone</v>
      </c>
      <c r="H999" t="str">
        <f>PROPER(TRIM(Table1[[#This Row],[Region]]))</f>
        <v>West</v>
      </c>
      <c r="I999" s="6">
        <f>Table1[[#This Row],[Sales]]*Table1[[#This Row],[Quantity]]</f>
        <v>172705</v>
      </c>
    </row>
    <row r="1000" spans="1:9" x14ac:dyDescent="0.35">
      <c r="A1000" t="s">
        <v>991</v>
      </c>
      <c r="B1000" s="1">
        <v>45019</v>
      </c>
      <c r="C1000" t="s">
        <v>18</v>
      </c>
      <c r="D1000" t="s">
        <v>13</v>
      </c>
      <c r="E1000" s="6">
        <v>31663</v>
      </c>
      <c r="F1000">
        <v>1</v>
      </c>
      <c r="G1000" t="str">
        <f>PROPER(TRIM(Table1[[#This Row],[Product]]))</f>
        <v>Laptop</v>
      </c>
      <c r="H1000" t="str">
        <f>PROPER(TRIM(Table1[[#This Row],[Region]]))</f>
        <v>East</v>
      </c>
      <c r="I1000" s="6">
        <f>Table1[[#This Row],[Sales]]*Table1[[#This Row],[Quantity]]</f>
        <v>31663</v>
      </c>
    </row>
    <row r="1001" spans="1:9" x14ac:dyDescent="0.35">
      <c r="A1001" t="s">
        <v>992</v>
      </c>
      <c r="B1001" s="1">
        <v>45010</v>
      </c>
      <c r="C1001" t="s">
        <v>33</v>
      </c>
      <c r="D1001" t="s">
        <v>13</v>
      </c>
      <c r="E1001" s="6">
        <v>39897</v>
      </c>
      <c r="F1001">
        <v>1</v>
      </c>
      <c r="G1001" t="str">
        <f>PROPER(TRIM(Table1[[#This Row],[Product]]))</f>
        <v>Laptop</v>
      </c>
      <c r="H1001" t="str">
        <f>PROPER(TRIM(Table1[[#This Row],[Region]]))</f>
        <v>South</v>
      </c>
      <c r="I1001" s="6">
        <f>Table1[[#This Row],[Sales]]*Table1[[#This Row],[Quantity]]</f>
        <v>39897</v>
      </c>
    </row>
    <row r="1002" spans="1:9" x14ac:dyDescent="0.35">
      <c r="A1002" t="s">
        <v>993</v>
      </c>
      <c r="B1002" s="1">
        <v>45053</v>
      </c>
      <c r="C1002" t="s">
        <v>18</v>
      </c>
      <c r="D1002" t="s">
        <v>40</v>
      </c>
      <c r="E1002" s="6">
        <v>3668</v>
      </c>
      <c r="F1002">
        <v>6</v>
      </c>
      <c r="G1002" t="str">
        <f>PROPER(TRIM(Table1[[#This Row],[Product]]))</f>
        <v>Headphones</v>
      </c>
      <c r="H1002" t="str">
        <f>PROPER(TRIM(Table1[[#This Row],[Region]]))</f>
        <v>East</v>
      </c>
      <c r="I1002" s="6">
        <f>Table1[[#This Row],[Sales]]*Table1[[#This Row],[Quantity]]</f>
        <v>22008</v>
      </c>
    </row>
    <row r="1003" spans="1:9" x14ac:dyDescent="0.35">
      <c r="A1003" t="s">
        <v>994</v>
      </c>
      <c r="B1003" s="1">
        <v>44975</v>
      </c>
      <c r="C1003" t="s">
        <v>8</v>
      </c>
      <c r="D1003" t="s">
        <v>28</v>
      </c>
      <c r="E1003" s="6">
        <v>7055</v>
      </c>
      <c r="F1003">
        <v>8</v>
      </c>
      <c r="G1003" t="str">
        <f>PROPER(TRIM(Table1[[#This Row],[Product]]))</f>
        <v>Phone</v>
      </c>
      <c r="H1003" t="str">
        <f>PROPER(TRIM(Table1[[#This Row],[Region]]))</f>
        <v>North</v>
      </c>
      <c r="I1003" s="6">
        <f>Table1[[#This Row],[Sales]]*Table1[[#This Row],[Quantity]]</f>
        <v>56440</v>
      </c>
    </row>
    <row r="1004" spans="1:9" x14ac:dyDescent="0.35">
      <c r="A1004" t="s">
        <v>995</v>
      </c>
      <c r="B1004" s="1">
        <v>45201</v>
      </c>
      <c r="C1004" t="s">
        <v>8</v>
      </c>
      <c r="D1004" t="s">
        <v>25</v>
      </c>
      <c r="E1004" s="6">
        <v>25661</v>
      </c>
      <c r="F1004">
        <v>5</v>
      </c>
      <c r="G1004" t="str">
        <f>PROPER(TRIM(Table1[[#This Row],[Product]]))</f>
        <v>Tablet</v>
      </c>
      <c r="H1004" t="str">
        <f>PROPER(TRIM(Table1[[#This Row],[Region]]))</f>
        <v>North</v>
      </c>
      <c r="I1004" s="6">
        <f>Table1[[#This Row],[Sales]]*Table1[[#This Row],[Quantity]]</f>
        <v>128305</v>
      </c>
    </row>
    <row r="1005" spans="1:9" x14ac:dyDescent="0.35">
      <c r="A1005" t="s">
        <v>996</v>
      </c>
      <c r="B1005" s="1">
        <v>45143</v>
      </c>
      <c r="C1005" t="s">
        <v>18</v>
      </c>
      <c r="D1005" t="s">
        <v>28</v>
      </c>
      <c r="E1005" s="6">
        <v>11423</v>
      </c>
      <c r="F1005">
        <v>6</v>
      </c>
      <c r="G1005" t="str">
        <f>PROPER(TRIM(Table1[[#This Row],[Product]]))</f>
        <v>Phone</v>
      </c>
      <c r="H1005" t="str">
        <f>PROPER(TRIM(Table1[[#This Row],[Region]]))</f>
        <v>East</v>
      </c>
      <c r="I1005" s="6">
        <f>Table1[[#This Row],[Sales]]*Table1[[#This Row],[Quantity]]</f>
        <v>68538</v>
      </c>
    </row>
    <row r="1006" spans="1:9" x14ac:dyDescent="0.35">
      <c r="A1006" t="s">
        <v>997</v>
      </c>
      <c r="B1006" s="1">
        <v>44980</v>
      </c>
      <c r="C1006" t="s">
        <v>33</v>
      </c>
      <c r="D1006" t="s">
        <v>28</v>
      </c>
      <c r="E1006" s="6">
        <v>64</v>
      </c>
      <c r="F1006">
        <v>4</v>
      </c>
      <c r="G1006" t="str">
        <f>PROPER(TRIM(Table1[[#This Row],[Product]]))</f>
        <v>Phone</v>
      </c>
      <c r="H1006" t="str">
        <f>PROPER(TRIM(Table1[[#This Row],[Region]]))</f>
        <v>South</v>
      </c>
      <c r="I1006" s="6">
        <f>Table1[[#This Row],[Sales]]*Table1[[#This Row],[Quantity]]</f>
        <v>256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26BCA-69AD-4DC8-A271-F0C477314D5A}">
  <dimension ref="A2:L42"/>
  <sheetViews>
    <sheetView topLeftCell="A28" zoomScale="89" workbookViewId="0">
      <selection activeCell="H23" sqref="H23"/>
    </sheetView>
  </sheetViews>
  <sheetFormatPr defaultRowHeight="14.5" x14ac:dyDescent="0.35"/>
  <cols>
    <col min="1" max="1" width="14.36328125" customWidth="1"/>
    <col min="2" max="2" width="26.08984375" customWidth="1"/>
    <col min="3" max="3" width="5.7265625" customWidth="1"/>
    <col min="4" max="4" width="11.6328125" bestFit="1" customWidth="1"/>
    <col min="5" max="5" width="19.08984375" customWidth="1"/>
    <col min="6" max="6" width="6.08984375" customWidth="1"/>
    <col min="7" max="7" width="13.08984375" bestFit="1" customWidth="1"/>
    <col min="8" max="8" width="15" bestFit="1" customWidth="1"/>
    <col min="9" max="9" width="15.81640625" bestFit="1" customWidth="1"/>
    <col min="10" max="10" width="7.81640625" customWidth="1"/>
    <col min="11" max="12" width="13.08984375" bestFit="1" customWidth="1"/>
    <col min="13" max="13" width="15" bestFit="1" customWidth="1"/>
    <col min="15" max="15" width="15.36328125" bestFit="1" customWidth="1"/>
    <col min="16" max="16" width="15.54296875" bestFit="1" customWidth="1"/>
  </cols>
  <sheetData>
    <row r="2" spans="1:12" ht="21" x14ac:dyDescent="0.5">
      <c r="D2" s="19" t="s">
        <v>1009</v>
      </c>
      <c r="E2" s="19"/>
      <c r="K2" s="19" t="s">
        <v>1007</v>
      </c>
      <c r="L2" s="19"/>
    </row>
    <row r="3" spans="1:12" ht="21" x14ac:dyDescent="0.5">
      <c r="A3" s="19" t="s">
        <v>1008</v>
      </c>
      <c r="B3" s="19"/>
      <c r="F3" s="5"/>
      <c r="K3" s="2" t="s">
        <v>1001</v>
      </c>
      <c r="L3" t="s">
        <v>1005</v>
      </c>
    </row>
    <row r="4" spans="1:12" ht="21" x14ac:dyDescent="0.5">
      <c r="B4" s="5"/>
      <c r="H4" s="19" t="s">
        <v>1012</v>
      </c>
      <c r="I4" s="19"/>
      <c r="K4" s="3" t="s">
        <v>1003</v>
      </c>
    </row>
    <row r="5" spans="1:12" x14ac:dyDescent="0.35">
      <c r="K5" s="4" t="s">
        <v>1006</v>
      </c>
      <c r="L5" s="6">
        <v>10852998</v>
      </c>
    </row>
    <row r="6" spans="1:12" x14ac:dyDescent="0.35">
      <c r="H6" s="2" t="s">
        <v>1001</v>
      </c>
      <c r="I6" t="s">
        <v>1011</v>
      </c>
      <c r="K6" s="4" t="s">
        <v>1017</v>
      </c>
      <c r="L6" s="6">
        <v>9207677</v>
      </c>
    </row>
    <row r="7" spans="1:12" x14ac:dyDescent="0.35">
      <c r="H7" s="3" t="s">
        <v>33</v>
      </c>
      <c r="I7">
        <v>253</v>
      </c>
      <c r="K7" s="4" t="s">
        <v>1018</v>
      </c>
      <c r="L7" s="6">
        <v>11366948</v>
      </c>
    </row>
    <row r="8" spans="1:12" x14ac:dyDescent="0.35">
      <c r="H8" s="3" t="s">
        <v>30</v>
      </c>
      <c r="I8">
        <v>258</v>
      </c>
      <c r="K8" s="4" t="s">
        <v>1019</v>
      </c>
      <c r="L8" s="6">
        <v>10338523</v>
      </c>
    </row>
    <row r="9" spans="1:12" x14ac:dyDescent="0.35">
      <c r="H9" s="3" t="s">
        <v>8</v>
      </c>
      <c r="I9">
        <v>247</v>
      </c>
      <c r="K9" s="4" t="s">
        <v>1020</v>
      </c>
      <c r="L9" s="6">
        <v>10961428</v>
      </c>
    </row>
    <row r="10" spans="1:12" x14ac:dyDescent="0.35">
      <c r="H10" s="3" t="s">
        <v>18</v>
      </c>
      <c r="I10">
        <v>247</v>
      </c>
      <c r="K10" s="4" t="s">
        <v>1021</v>
      </c>
      <c r="L10" s="6">
        <v>12821507</v>
      </c>
    </row>
    <row r="11" spans="1:12" x14ac:dyDescent="0.35">
      <c r="H11" s="3" t="s">
        <v>1002</v>
      </c>
      <c r="I11">
        <v>1005</v>
      </c>
      <c r="K11" s="4" t="s">
        <v>1022</v>
      </c>
      <c r="L11" s="6">
        <v>12498292</v>
      </c>
    </row>
    <row r="12" spans="1:12" x14ac:dyDescent="0.35">
      <c r="A12" s="2" t="s">
        <v>2</v>
      </c>
      <c r="B12" t="s">
        <v>1005</v>
      </c>
      <c r="K12" s="4" t="s">
        <v>1023</v>
      </c>
      <c r="L12" s="6">
        <v>11869673</v>
      </c>
    </row>
    <row r="13" spans="1:12" x14ac:dyDescent="0.35">
      <c r="A13" s="3" t="s">
        <v>30</v>
      </c>
      <c r="B13" s="6">
        <v>37339185</v>
      </c>
      <c r="D13" s="2" t="s">
        <v>3</v>
      </c>
      <c r="E13" t="s">
        <v>1005</v>
      </c>
      <c r="H13" s="2" t="s">
        <v>1001</v>
      </c>
      <c r="I13" t="s">
        <v>1031</v>
      </c>
      <c r="K13" s="4" t="s">
        <v>1024</v>
      </c>
      <c r="L13" s="6">
        <v>12092127</v>
      </c>
    </row>
    <row r="14" spans="1:12" x14ac:dyDescent="0.35">
      <c r="A14" s="3" t="s">
        <v>18</v>
      </c>
      <c r="B14" s="6">
        <v>33279524</v>
      </c>
      <c r="D14" s="3" t="s">
        <v>31</v>
      </c>
      <c r="E14" s="6">
        <v>30100920</v>
      </c>
      <c r="H14" s="3" t="s">
        <v>31</v>
      </c>
      <c r="I14">
        <v>1215</v>
      </c>
      <c r="K14" s="4" t="s">
        <v>1025</v>
      </c>
      <c r="L14" s="6">
        <v>12316736</v>
      </c>
    </row>
    <row r="15" spans="1:12" x14ac:dyDescent="0.35">
      <c r="A15" s="3" t="s">
        <v>33</v>
      </c>
      <c r="B15" s="6">
        <v>33164701</v>
      </c>
      <c r="D15" s="3" t="s">
        <v>25</v>
      </c>
      <c r="E15" s="6">
        <v>28679024</v>
      </c>
      <c r="H15" s="3" t="s">
        <v>28</v>
      </c>
      <c r="I15">
        <v>1120</v>
      </c>
      <c r="K15" s="4" t="s">
        <v>1026</v>
      </c>
      <c r="L15" s="6">
        <v>8485466</v>
      </c>
    </row>
    <row r="16" spans="1:12" x14ac:dyDescent="0.35">
      <c r="A16" s="3" t="s">
        <v>8</v>
      </c>
      <c r="B16" s="6">
        <v>33043829</v>
      </c>
      <c r="D16" s="3" t="s">
        <v>28</v>
      </c>
      <c r="E16" s="6">
        <v>27119138</v>
      </c>
      <c r="H16" s="3" t="s">
        <v>25</v>
      </c>
      <c r="I16">
        <v>1119</v>
      </c>
      <c r="K16" s="4" t="s">
        <v>1027</v>
      </c>
      <c r="L16" s="6">
        <v>13790234</v>
      </c>
    </row>
    <row r="17" spans="1:12" x14ac:dyDescent="0.35">
      <c r="A17" s="3" t="s">
        <v>1002</v>
      </c>
      <c r="B17" s="6">
        <v>136827239</v>
      </c>
      <c r="D17" s="3" t="s">
        <v>13</v>
      </c>
      <c r="E17" s="6">
        <v>25977161</v>
      </c>
      <c r="H17" s="3" t="s">
        <v>13</v>
      </c>
      <c r="I17">
        <v>1057</v>
      </c>
      <c r="K17" s="3" t="s">
        <v>1004</v>
      </c>
      <c r="L17" s="6"/>
    </row>
    <row r="18" spans="1:12" x14ac:dyDescent="0.35">
      <c r="D18" s="3" t="s">
        <v>40</v>
      </c>
      <c r="E18" s="6">
        <v>24950996</v>
      </c>
      <c r="H18" s="3" t="s">
        <v>40</v>
      </c>
      <c r="I18">
        <v>1041</v>
      </c>
      <c r="K18" s="4" t="s">
        <v>1006</v>
      </c>
      <c r="L18" s="6">
        <v>225630</v>
      </c>
    </row>
    <row r="19" spans="1:12" x14ac:dyDescent="0.35">
      <c r="B19" t="s">
        <v>1028</v>
      </c>
      <c r="D19" s="3" t="s">
        <v>1002</v>
      </c>
      <c r="E19" s="6">
        <v>136827239</v>
      </c>
      <c r="H19" s="3" t="s">
        <v>1002</v>
      </c>
      <c r="I19">
        <v>5552</v>
      </c>
      <c r="K19" s="3" t="s">
        <v>1002</v>
      </c>
      <c r="L19" s="6">
        <v>136827239</v>
      </c>
    </row>
    <row r="20" spans="1:12" x14ac:dyDescent="0.35">
      <c r="B20">
        <v>1005</v>
      </c>
    </row>
    <row r="34" spans="2:10" ht="18.5" x14ac:dyDescent="0.45">
      <c r="B34" s="20" t="s">
        <v>1010</v>
      </c>
      <c r="C34" s="20"/>
    </row>
    <row r="37" spans="2:10" x14ac:dyDescent="0.35">
      <c r="B37" s="21" t="s">
        <v>1013</v>
      </c>
      <c r="C37" s="21"/>
      <c r="D37" s="21"/>
      <c r="E37" s="21"/>
      <c r="F37" s="21"/>
      <c r="G37" s="21"/>
      <c r="H37" s="21"/>
    </row>
    <row r="38" spans="2:10" x14ac:dyDescent="0.35">
      <c r="B38" t="s">
        <v>1015</v>
      </c>
    </row>
    <row r="40" spans="2:10" x14ac:dyDescent="0.35">
      <c r="B40" t="s">
        <v>1016</v>
      </c>
    </row>
    <row r="42" spans="2:10" x14ac:dyDescent="0.35">
      <c r="B42" s="21" t="s">
        <v>1014</v>
      </c>
      <c r="C42" s="21"/>
      <c r="D42" s="21"/>
      <c r="E42" s="21"/>
      <c r="F42" s="21"/>
      <c r="G42" s="21"/>
      <c r="H42" s="21"/>
      <c r="I42" s="21"/>
      <c r="J42" s="21"/>
    </row>
  </sheetData>
  <mergeCells count="7">
    <mergeCell ref="K2:L2"/>
    <mergeCell ref="D2:E2"/>
    <mergeCell ref="B34:C34"/>
    <mergeCell ref="B37:H37"/>
    <mergeCell ref="B42:J42"/>
    <mergeCell ref="A3:B3"/>
    <mergeCell ref="H4:I4"/>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75156-1212-4C35-9441-F7B207445382}">
  <dimension ref="A1:Y34"/>
  <sheetViews>
    <sheetView showGridLines="0" showRowColHeaders="0" tabSelected="1" zoomScale="43" zoomScaleNormal="58" workbookViewId="0">
      <selection activeCell="S33" sqref="S33"/>
    </sheetView>
  </sheetViews>
  <sheetFormatPr defaultRowHeight="14.5" x14ac:dyDescent="0.35"/>
  <cols>
    <col min="1" max="2" width="9.81640625" style="7" bestFit="1" customWidth="1"/>
    <col min="3" max="3" width="20.1796875" style="7" bestFit="1" customWidth="1"/>
    <col min="4" max="24" width="8.7265625" style="7"/>
    <col min="25" max="25" width="14.453125" style="7" bestFit="1" customWidth="1"/>
    <col min="26" max="16384" width="8.7265625" style="7"/>
  </cols>
  <sheetData>
    <row r="1" spans="1:25" ht="14.5" customHeight="1" x14ac:dyDescent="0.35">
      <c r="A1" s="14" t="s">
        <v>1029</v>
      </c>
      <c r="B1" s="15"/>
      <c r="C1" s="15"/>
      <c r="D1" s="15"/>
      <c r="E1" s="15"/>
      <c r="F1" s="15"/>
      <c r="G1" s="15"/>
      <c r="H1" s="15"/>
      <c r="I1" s="15"/>
      <c r="J1" s="15"/>
      <c r="K1" s="15"/>
      <c r="L1" s="15"/>
      <c r="M1" s="15"/>
      <c r="N1" s="15"/>
    </row>
    <row r="2" spans="1:25" ht="14.5" customHeight="1" x14ac:dyDescent="0.35">
      <c r="A2" s="15"/>
      <c r="B2" s="15"/>
      <c r="C2" s="15"/>
      <c r="D2" s="15"/>
      <c r="E2" s="15"/>
      <c r="F2" s="15"/>
      <c r="G2" s="15"/>
      <c r="H2" s="15"/>
      <c r="I2" s="15"/>
      <c r="J2" s="15"/>
      <c r="K2" s="15"/>
      <c r="L2" s="15"/>
      <c r="M2" s="15"/>
      <c r="N2" s="15"/>
      <c r="Y2" s="8">
        <f>SUM(Table1[Revenue])</f>
        <v>136827239</v>
      </c>
    </row>
    <row r="3" spans="1:25" ht="14.5" customHeight="1" x14ac:dyDescent="0.35">
      <c r="A3" s="15"/>
      <c r="B3" s="15"/>
      <c r="C3" s="15"/>
      <c r="D3" s="15"/>
      <c r="E3" s="15"/>
      <c r="F3" s="15"/>
      <c r="G3" s="15"/>
      <c r="H3" s="15"/>
      <c r="I3" s="15"/>
      <c r="J3" s="15"/>
      <c r="K3" s="15"/>
      <c r="L3" s="15"/>
      <c r="M3" s="15"/>
      <c r="N3" s="15"/>
      <c r="Y3" s="7">
        <f>COUNTA(Table1[OrderID])</f>
        <v>1005</v>
      </c>
    </row>
    <row r="4" spans="1:25" ht="14.5" customHeight="1" x14ac:dyDescent="0.65">
      <c r="A4" s="9"/>
      <c r="B4" s="9"/>
      <c r="C4" s="9"/>
      <c r="D4" s="9"/>
      <c r="E4" s="9"/>
      <c r="F4" s="9"/>
      <c r="G4" s="9"/>
      <c r="H4" s="9"/>
      <c r="I4" s="9"/>
      <c r="J4" s="9"/>
      <c r="K4" s="9"/>
      <c r="L4" s="9"/>
      <c r="M4" s="9"/>
      <c r="N4" s="9"/>
    </row>
    <row r="5" spans="1:25" ht="14.5" customHeight="1" x14ac:dyDescent="0.65">
      <c r="C5" s="10"/>
      <c r="D5" s="9"/>
      <c r="E5" s="16"/>
      <c r="F5" s="16"/>
      <c r="G5" s="11"/>
      <c r="H5" s="9"/>
      <c r="I5" s="16"/>
      <c r="J5" s="17"/>
      <c r="K5" s="11"/>
      <c r="L5" s="16"/>
      <c r="M5" s="16"/>
      <c r="N5" s="11"/>
      <c r="Y5" s="8">
        <f ca="1">SUMIF(Sheet1!D14:E18,Sheet1!D14,Sheet1!E14:E18)</f>
        <v>30100920</v>
      </c>
    </row>
    <row r="6" spans="1:25" ht="15.5" x14ac:dyDescent="0.35">
      <c r="A6" s="7" t="s">
        <v>1030</v>
      </c>
      <c r="B6" s="12"/>
      <c r="C6" s="13"/>
      <c r="D6" s="12"/>
      <c r="E6" s="12"/>
      <c r="G6" s="12"/>
      <c r="H6" s="12"/>
      <c r="J6" s="12"/>
      <c r="K6" s="12"/>
      <c r="Y6" s="8">
        <f ca="1">SUMIF(Sheet1!A13:B16,Sheet1!A13,Sheet1!B13:B16)</f>
        <v>37339185</v>
      </c>
    </row>
    <row r="10" spans="1:25" x14ac:dyDescent="0.35">
      <c r="J10" s="7" t="s">
        <v>1030</v>
      </c>
    </row>
    <row r="34" spans="9:11" ht="21" x14ac:dyDescent="0.5">
      <c r="I34" s="18" t="s">
        <v>1032</v>
      </c>
      <c r="J34" s="18"/>
      <c r="K34" s="18"/>
    </row>
  </sheetData>
  <mergeCells count="5">
    <mergeCell ref="A1:N3"/>
    <mergeCell ref="E5:F5"/>
    <mergeCell ref="I5:J5"/>
    <mergeCell ref="L5:M5"/>
    <mergeCell ref="I34:K3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suresh reddy</cp:lastModifiedBy>
  <dcterms:created xsi:type="dcterms:W3CDTF">2026-04-24T14:57:32Z</dcterms:created>
  <dcterms:modified xsi:type="dcterms:W3CDTF">2026-04-27T14:38:35Z</dcterms:modified>
</cp:coreProperties>
</file>